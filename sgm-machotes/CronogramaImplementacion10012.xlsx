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328"/>
  <workbookPr defaultThemeVersion="124226"/>
  <mc:AlternateContent xmlns:mc="http://schemas.openxmlformats.org/markup-compatibility/2006">
    <mc:Choice Requires="x15">
      <x15ac:absPath xmlns:x15ac="http://schemas.microsoft.com/office/spreadsheetml/2010/11/ac" url="C:\Users\josue\Pictures\SISTEMA DE GESTION DE MEDICION\GuiaM-10012\Cronograma Implementación\"/>
    </mc:Choice>
  </mc:AlternateContent>
  <xr:revisionPtr revIDLastSave="0" documentId="13_ncr:1_{81344EE7-47C1-4D87-8A79-1DFA3C79A9B4}" xr6:coauthVersionLast="41" xr6:coauthVersionMax="41" xr10:uidLastSave="{00000000-0000-0000-0000-000000000000}"/>
  <bookViews>
    <workbookView xWindow="-108" yWindow="-108" windowWidth="23256" windowHeight="12576" tabRatio="881" xr2:uid="{00000000-000D-0000-FFFF-FFFF00000000}"/>
  </bookViews>
  <sheets>
    <sheet name="Cronograma" sheetId="1" r:id="rId1"/>
    <sheet name="Cap5" sheetId="3" r:id="rId2"/>
    <sheet name="Cap6" sheetId="28" r:id="rId3"/>
    <sheet name="Cap7" sheetId="29" r:id="rId4"/>
    <sheet name="Cap8" sheetId="30" r:id="rId5"/>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19" i="1" l="1"/>
  <c r="C24" i="1" s="1"/>
  <c r="D12" i="30"/>
  <c r="D9" i="30"/>
  <c r="D6" i="30"/>
  <c r="D4" i="30"/>
  <c r="B12" i="30"/>
  <c r="B9" i="30"/>
  <c r="B6" i="30"/>
  <c r="B4" i="30"/>
  <c r="A12" i="30"/>
  <c r="C12" i="30" s="1"/>
  <c r="A9" i="30"/>
  <c r="C9" i="30" s="1"/>
  <c r="A6" i="30"/>
  <c r="C6" i="30" s="1"/>
  <c r="A4" i="30"/>
  <c r="C4" i="30" s="1"/>
  <c r="D3" i="30"/>
  <c r="C15" i="1"/>
  <c r="B4" i="29"/>
  <c r="D15" i="29"/>
  <c r="B15" i="29"/>
  <c r="A15" i="29"/>
  <c r="C15" i="29" s="1"/>
  <c r="D10" i="29"/>
  <c r="B10" i="29"/>
  <c r="A10" i="29"/>
  <c r="C10" i="29" s="1"/>
  <c r="D4" i="29"/>
  <c r="A4" i="29"/>
  <c r="C4" i="29" s="1"/>
  <c r="D3" i="29"/>
  <c r="C10" i="1"/>
  <c r="D21" i="28"/>
  <c r="B21" i="28"/>
  <c r="D18" i="28"/>
  <c r="B18" i="28"/>
  <c r="B11" i="28"/>
  <c r="D11" i="28"/>
  <c r="A21" i="28"/>
  <c r="C21" i="28" s="1"/>
  <c r="A18" i="28"/>
  <c r="C18" i="28" s="1"/>
  <c r="A11" i="28"/>
  <c r="C11" i="28" s="1"/>
  <c r="D4" i="28"/>
  <c r="B4" i="28"/>
  <c r="A4" i="28"/>
  <c r="C4" i="28" s="1"/>
  <c r="D3" i="28"/>
  <c r="C5" i="1"/>
  <c r="D12" i="3"/>
  <c r="B12" i="3"/>
  <c r="A12" i="3"/>
  <c r="C12" i="3" s="1"/>
  <c r="D9" i="3"/>
  <c r="B9" i="3"/>
  <c r="A9" i="3"/>
  <c r="C9" i="3" s="1"/>
  <c r="D7" i="3"/>
  <c r="C7" i="3"/>
  <c r="B7" i="3"/>
  <c r="A7" i="3"/>
  <c r="D3" i="3"/>
  <c r="D4" i="3"/>
  <c r="B4" i="3"/>
  <c r="A4" i="3"/>
  <c r="C3" i="1"/>
  <c r="C4" i="3" l="1"/>
  <c r="C25" i="1" l="1"/>
</calcChain>
</file>

<file path=xl/sharedStrings.xml><?xml version="1.0" encoding="utf-8"?>
<sst xmlns="http://schemas.openxmlformats.org/spreadsheetml/2006/main" count="161" uniqueCount="94">
  <si>
    <t>Mes 1</t>
  </si>
  <si>
    <t>Mes 2</t>
  </si>
  <si>
    <t>Mes 3</t>
  </si>
  <si>
    <t>Mes 4</t>
  </si>
  <si>
    <t>Mes 5</t>
  </si>
  <si>
    <t>Mes 6</t>
  </si>
  <si>
    <t>Mes 7</t>
  </si>
  <si>
    <t>Mes 8</t>
  </si>
  <si>
    <t>Mes 9</t>
  </si>
  <si>
    <t>Mes 10</t>
  </si>
  <si>
    <t>Mes 11</t>
  </si>
  <si>
    <t>Mes 12</t>
  </si>
  <si>
    <t>Duración  estimada (días)</t>
  </si>
  <si>
    <t>Semana 1</t>
  </si>
  <si>
    <t>Semana 2</t>
  </si>
  <si>
    <t>Semana 3</t>
  </si>
  <si>
    <t>Semana 4</t>
  </si>
  <si>
    <t>Semana 5</t>
  </si>
  <si>
    <t>Sección norma 10012</t>
  </si>
  <si>
    <t>4. REQUISITOS GENERALES</t>
  </si>
  <si>
    <t>Recursos de información</t>
  </si>
  <si>
    <t>Recursos humanos</t>
  </si>
  <si>
    <t>6. GESTIÓN DE LOS RECURSOS</t>
  </si>
  <si>
    <t>Función metrológica</t>
  </si>
  <si>
    <t>Enfoque en el cliente</t>
  </si>
  <si>
    <t>Definición de objetivos de calidad</t>
  </si>
  <si>
    <t>Revisiones por la dirección</t>
  </si>
  <si>
    <t>Recursos materiales</t>
  </si>
  <si>
    <t>Proveedores externos</t>
  </si>
  <si>
    <t>7. CONFIRMACIÓN METROLÓGICA Y REALIZACIÓN DE LOS PROCESOS DE MEDICIÓN</t>
  </si>
  <si>
    <t>Confirmación metrológica</t>
  </si>
  <si>
    <t>Proceso de medición</t>
  </si>
  <si>
    <t>Incertidumbre de medición y trazabilidad metrológica</t>
  </si>
  <si>
    <t>8. ANÁLISIS Y MEJORA DEL SGM</t>
  </si>
  <si>
    <t>Generalidades</t>
  </si>
  <si>
    <t>Auditoría y seguimiento</t>
  </si>
  <si>
    <t>Control de no conformidades</t>
  </si>
  <si>
    <t>Mejora</t>
  </si>
  <si>
    <t>Requisitos cubiertos en las secciones:7.1, 7.2 y 8.2.2</t>
  </si>
  <si>
    <t>Sub- sección 10012</t>
  </si>
  <si>
    <t>a</t>
  </si>
  <si>
    <t>b</t>
  </si>
  <si>
    <t>c</t>
  </si>
  <si>
    <t>5. RESPONSABILIDAD DE LA DIRECCIÓN</t>
  </si>
  <si>
    <t>Esta sección se cubre con el cumplimiento de los requisitos de las secciones: 7.2 y 8.2.2</t>
  </si>
  <si>
    <t>Los procedimientos para procesos de medición y su control se definen de acuerdo a lo indicado en la sección 7.2</t>
  </si>
  <si>
    <t>d</t>
  </si>
  <si>
    <t>e</t>
  </si>
  <si>
    <t>Para validar el software de medición utilizado, ver la sección 7.2.</t>
  </si>
  <si>
    <t>Para validar los procedimientos de medición ver la sección 7.2.</t>
  </si>
  <si>
    <t>Los equipos de medición del SGM se identifican de acuerdo a lo indicado en la sección 7.1.</t>
  </si>
  <si>
    <t>El equipo del SGM es administrado, controlado y asegurado como se indica en 7.1.</t>
  </si>
  <si>
    <t>Las condiciones ambientales se documentan, controlan, registran y aplican correcciones significantes de acuerdo a lo indicado en el procedimiento de cada proceso de medición empleado (ver sección 7.2).</t>
  </si>
  <si>
    <t xml:space="preserve">Aplicar el procedimiento y realizar la confirmación metrológica de cada equipo de medición del SGM. </t>
  </si>
  <si>
    <r>
      <t xml:space="preserve">Elaborar </t>
    </r>
    <r>
      <rPr>
        <b/>
        <sz val="9"/>
        <color theme="0" tint="-0.499984740745262"/>
        <rFont val="Calibri"/>
        <family val="2"/>
        <scheme val="minor"/>
      </rPr>
      <t>organigrama</t>
    </r>
    <r>
      <rPr>
        <sz val="9"/>
        <color theme="0" tint="-0.499984740745262"/>
        <rFont val="Calibri"/>
        <family val="2"/>
        <scheme val="minor"/>
      </rPr>
      <t xml:space="preserve"> de la Organización, indicando graficamente las relaciones entre el personal de gestión, técnico, de apoyo y externo de influencia en los resultados de medición. En la medida de lo posible, evitar que en el organigrama se presenten conflictos de interés entre los diferentes puestos del personal.</t>
    </r>
  </si>
  <si>
    <r>
      <t xml:space="preserve">En base a las funciones y responsabilidades, definir y documentar los </t>
    </r>
    <r>
      <rPr>
        <b/>
        <sz val="9"/>
        <color theme="0" tint="-0.499984740745262"/>
        <rFont val="Calibri"/>
        <family val="2"/>
        <scheme val="minor"/>
      </rPr>
      <t xml:space="preserve">perfiles de puesto </t>
    </r>
    <r>
      <rPr>
        <sz val="9"/>
        <color theme="0" tint="-0.499984740745262"/>
        <rFont val="Calibri"/>
        <family val="2"/>
        <scheme val="minor"/>
      </rPr>
      <t xml:space="preserve">requeridos para cada puesto de la Organización. Tomar en cuenta que para cada requisito de perfil indicado, debe existir evidencia documental de su cumplimiento. Esto aplica para cada persona que ocupa el puesto. </t>
    </r>
  </si>
  <si>
    <t>f</t>
  </si>
  <si>
    <t>Identificar y documentar las características de desempeño que debe lograr el proceso de medición.</t>
  </si>
  <si>
    <t>Generar registros de la estimación de incertidumbre realizada de cada proceso de medicion.</t>
  </si>
  <si>
    <t>Generar registros para demostrar que se realizan auditorías internas al SGM. La auditoría interna también puede ser realizada por auditores externos a la Organización.</t>
  </si>
  <si>
    <t>Generar registros de la atención de las no conformidades que se llegase a presentar, por ejemplo de clientes, auditorías internas o externas.</t>
  </si>
  <si>
    <t>Los requisitos se incluyen en los apartados 8.2 a 8.4.</t>
  </si>
  <si>
    <t>Generar registros de la aplicación de mejoras, acciones correctivas y/o acciones preventivas que pudiesen presentarse.</t>
  </si>
  <si>
    <t>Nota: Los tiempos estimados consideran las actividades realizadas por una persona en 8 h por 5 días/semana para un proceso de medición con máximo 5 equipos de medición. En caso de que solo se dedique 4 h, el tiempo estimado se duplica. En caso de que sean más personas el tiempo se reduce. El tiempo también depende de la capacitación, experiencia y habilidades del personal. Si se requieren realizar mediciones adicionales, adquirir/calibrar equipo, adecuar instalaciones, capacitar personal, compras, etc. el tiempo se incrementa.</t>
  </si>
  <si>
    <r>
      <t xml:space="preserve">Elaborar un </t>
    </r>
    <r>
      <rPr>
        <b/>
        <sz val="9"/>
        <color theme="0" tint="-0.499984740745262"/>
        <rFont val="Calibri"/>
        <family val="2"/>
        <scheme val="minor"/>
      </rPr>
      <t>procedimiento</t>
    </r>
    <r>
      <rPr>
        <sz val="9"/>
        <color theme="0" tint="-0.499984740745262"/>
        <rFont val="Calibri"/>
        <family val="2"/>
        <scheme val="minor"/>
      </rPr>
      <t xml:space="preserve"> </t>
    </r>
    <r>
      <rPr>
        <b/>
        <sz val="9"/>
        <color theme="0" tint="-0.499984740745262"/>
        <rFont val="Calibri"/>
        <family val="2"/>
        <scheme val="minor"/>
      </rPr>
      <t>y formato</t>
    </r>
    <r>
      <rPr>
        <sz val="9"/>
        <color theme="0" tint="-0.499984740745262"/>
        <rFont val="Calibri"/>
        <family val="2"/>
        <scheme val="minor"/>
      </rPr>
      <t xml:space="preserve"> para realizar revisiones periódicas al SGM.</t>
    </r>
  </si>
  <si>
    <t>Esta revisión la realiza la alta dirección de la Organización, con una periodicidad inferior a 12 meses. Pueden participar más miembros de la Organización. Es una revisión ejecutiva que diagnóstica el estado de operación del SGM, como: el cumplimiento de los objetivos de calidad, recursos humanos y materiales, documentación, etc. Generar registro de una revisión realizada.</t>
  </si>
  <si>
    <r>
      <t xml:space="preserve">Elaborar un </t>
    </r>
    <r>
      <rPr>
        <b/>
        <sz val="9"/>
        <color theme="0" tint="-0.499984740745262"/>
        <rFont val="Calibri"/>
        <family val="2"/>
        <scheme val="minor"/>
      </rPr>
      <t>procedimiento</t>
    </r>
    <r>
      <rPr>
        <sz val="9"/>
        <color theme="0" tint="-0.499984740745262"/>
        <rFont val="Calibri"/>
        <family val="2"/>
        <scheme val="minor"/>
      </rPr>
      <t xml:space="preserve"> </t>
    </r>
    <r>
      <rPr>
        <b/>
        <sz val="9"/>
        <color theme="0" tint="-0.499984740745262"/>
        <rFont val="Calibri"/>
        <family val="2"/>
        <scheme val="minor"/>
      </rPr>
      <t xml:space="preserve">y formato </t>
    </r>
    <r>
      <rPr>
        <sz val="9"/>
        <color theme="0" tint="-0.499984740745262"/>
        <rFont val="Calibri"/>
        <family val="2"/>
        <scheme val="minor"/>
      </rPr>
      <t>para controlar los documentos y software de la Organización.</t>
    </r>
  </si>
  <si>
    <r>
      <t xml:space="preserve">Elaborar un </t>
    </r>
    <r>
      <rPr>
        <b/>
        <sz val="9"/>
        <color theme="0" tint="-0.499984740745262"/>
        <rFont val="Calibri"/>
        <family val="2"/>
        <scheme val="minor"/>
      </rPr>
      <t>procedimiento</t>
    </r>
    <r>
      <rPr>
        <sz val="9"/>
        <color theme="0" tint="-0.499984740745262"/>
        <rFont val="Calibri"/>
        <family val="2"/>
        <scheme val="minor"/>
      </rPr>
      <t xml:space="preserve"> </t>
    </r>
    <r>
      <rPr>
        <b/>
        <sz val="9"/>
        <color theme="0" tint="-0.499984740745262"/>
        <rFont val="Calibri"/>
        <family val="2"/>
        <scheme val="minor"/>
      </rPr>
      <t xml:space="preserve">y formato </t>
    </r>
    <r>
      <rPr>
        <sz val="9"/>
        <color theme="0" tint="-0.499984740745262"/>
        <rFont val="Calibri"/>
        <family val="2"/>
        <scheme val="minor"/>
      </rPr>
      <t>para controlar los registros generados por el SGM de la Organización.</t>
    </r>
  </si>
  <si>
    <r>
      <t xml:space="preserve">Elaborar un </t>
    </r>
    <r>
      <rPr>
        <b/>
        <sz val="9"/>
        <color theme="0" tint="-0.499984740745262"/>
        <rFont val="Calibri"/>
        <family val="2"/>
        <scheme val="minor"/>
      </rPr>
      <t xml:space="preserve">procedimiento y formato </t>
    </r>
    <r>
      <rPr>
        <sz val="9"/>
        <color theme="0" tint="-0.499984740745262"/>
        <rFont val="Calibri"/>
        <family val="2"/>
        <scheme val="minor"/>
      </rPr>
      <t>para seleccionar y adquirir servicios y productos que afectan la calidad de las mediciones; incluyendo la evaluación de proveedores.</t>
    </r>
  </si>
  <si>
    <r>
      <t xml:space="preserve">Elaborar un </t>
    </r>
    <r>
      <rPr>
        <b/>
        <sz val="9"/>
        <color theme="0" tint="-0.499984740745262"/>
        <rFont val="Calibri"/>
        <family val="2"/>
        <scheme val="minor"/>
      </rPr>
      <t>procedimiento y formato</t>
    </r>
    <r>
      <rPr>
        <sz val="9"/>
        <color theme="0" tint="-0.499984740745262"/>
        <rFont val="Calibri"/>
        <family val="2"/>
        <scheme val="minor"/>
      </rPr>
      <t xml:space="preserve"> para para planear y realizar la confirmación metrológica del equipo de medición del SGM. La confirmación metrológica debe estar diseñada e implantada para asegurar que las características metrológicas del equipo de medición satisfagan los requisitos metrológicos del proceso de medición. La confirmación metrológica incluye la calibración y la verificación del equipo de medición.</t>
    </r>
  </si>
  <si>
    <t>Generar registros de la trazabilidad metrológica de cada proceso de medicion (carta de trazabilidad).</t>
  </si>
  <si>
    <r>
      <t xml:space="preserve">Elaborar un </t>
    </r>
    <r>
      <rPr>
        <b/>
        <sz val="9"/>
        <color theme="0" tint="-0.499984740745262"/>
        <rFont val="Calibri"/>
        <family val="2"/>
        <scheme val="minor"/>
      </rPr>
      <t>procedimiento y formato</t>
    </r>
    <r>
      <rPr>
        <sz val="9"/>
        <color theme="0" tint="-0.499984740745262"/>
        <rFont val="Calibri"/>
        <family val="2"/>
        <scheme val="minor"/>
      </rPr>
      <t xml:space="preserve"> para las mejoras realizadas al SGM.</t>
    </r>
  </si>
  <si>
    <r>
      <t xml:space="preserve">Elaborar un </t>
    </r>
    <r>
      <rPr>
        <b/>
        <sz val="9"/>
        <color theme="0" tint="-0.499984740745262"/>
        <rFont val="Calibri"/>
        <family val="2"/>
        <scheme val="minor"/>
      </rPr>
      <t>procedimiento y formato</t>
    </r>
    <r>
      <rPr>
        <sz val="9"/>
        <color theme="0" tint="-0.499984740745262"/>
        <rFont val="Calibri"/>
        <family val="2"/>
        <scheme val="minor"/>
      </rPr>
      <t xml:space="preserve"> para la aplicación de acciones correctivas al SGM.</t>
    </r>
  </si>
  <si>
    <r>
      <t xml:space="preserve">Elaborar un </t>
    </r>
    <r>
      <rPr>
        <b/>
        <sz val="9"/>
        <color theme="0" tint="-0.499984740745262"/>
        <rFont val="Calibri"/>
        <family val="2"/>
        <scheme val="minor"/>
      </rPr>
      <t>procedimiento y formato</t>
    </r>
    <r>
      <rPr>
        <sz val="9"/>
        <color theme="0" tint="-0.499984740745262"/>
        <rFont val="Calibri"/>
        <family val="2"/>
        <scheme val="minor"/>
      </rPr>
      <t xml:space="preserve"> para la aplicación de acciones preventivas al SGM (puede ser en conjunto con el procedimiento de mejora).</t>
    </r>
  </si>
  <si>
    <t>Definir en el organigrama, el o los puestos que son responsables del sistema de gestión de mediciones (Función Metrológica).</t>
  </si>
  <si>
    <r>
      <t xml:space="preserve">Definir y documentar en el manual de gestión los </t>
    </r>
    <r>
      <rPr>
        <b/>
        <sz val="9"/>
        <color theme="0" tint="-0.499984740745262"/>
        <rFont val="Calibri"/>
        <family val="2"/>
        <scheme val="minor"/>
      </rPr>
      <t xml:space="preserve">objetivos de calidad </t>
    </r>
    <r>
      <rPr>
        <sz val="9"/>
        <color theme="0" tint="-0.499984740745262"/>
        <rFont val="Calibri"/>
        <family val="2"/>
        <scheme val="minor"/>
      </rPr>
      <t>de la Organización. Éstos deben ser realistas, alcanzables y medibles. Enfocados a incrementar la eficacia del SGM (sistema de gestión de mediciones). Tomar en cuenta que los objetivos de calidad se miden continuamente y que un incumplimiento de éstos, implica una no conformidad al SGM.</t>
    </r>
  </si>
  <si>
    <r>
      <t xml:space="preserve">Definir y documentar en el manual de gestión, las </t>
    </r>
    <r>
      <rPr>
        <b/>
        <sz val="9"/>
        <color theme="0" tint="-0.499984740745262"/>
        <rFont val="Calibri"/>
        <family val="2"/>
        <scheme val="minor"/>
      </rPr>
      <t>funciones</t>
    </r>
    <r>
      <rPr>
        <sz val="9"/>
        <color theme="0" tint="-0.499984740745262"/>
        <rFont val="Calibri"/>
        <family val="2"/>
        <scheme val="minor"/>
      </rPr>
      <t xml:space="preserve"> y </t>
    </r>
    <r>
      <rPr>
        <b/>
        <sz val="9"/>
        <color theme="0" tint="-0.499984740745262"/>
        <rFont val="Calibri"/>
        <family val="2"/>
        <scheme val="minor"/>
      </rPr>
      <t>responsabilidades</t>
    </r>
    <r>
      <rPr>
        <sz val="9"/>
        <color theme="0" tint="-0.499984740745262"/>
        <rFont val="Calibri"/>
        <family val="2"/>
        <scheme val="minor"/>
      </rPr>
      <t xml:space="preserve"> de cada uno de los puestos de la Organización, definidos en el organigrama de la sección 5.1. Incluyendo sus interacciones y nivel de autoridad. Las funciones y responsabilidades documentadas son la base para realizar la evaluación del personal, ya que se evalúa de acuerdo al tipo de trabajo que desempeñan.</t>
    </r>
  </si>
  <si>
    <t>Generar un expediente de competencia por persona, que demuestre el cumplimiento del perfil de puesto.</t>
  </si>
  <si>
    <r>
      <t xml:space="preserve">Elaborar un </t>
    </r>
    <r>
      <rPr>
        <b/>
        <sz val="9"/>
        <color theme="0" tint="-0.499984740745262"/>
        <rFont val="Calibri"/>
        <family val="2"/>
        <scheme val="minor"/>
      </rPr>
      <t>procedimiento y formato</t>
    </r>
    <r>
      <rPr>
        <sz val="9"/>
        <color theme="0" tint="-0.499984740745262"/>
        <rFont val="Calibri"/>
        <family val="2"/>
        <scheme val="minor"/>
      </rPr>
      <t xml:space="preserve"> para identificar necesidades de formación del personal, para su impartición y evaluación de su eficacia.</t>
    </r>
  </si>
  <si>
    <r>
      <t xml:space="preserve">Generar un </t>
    </r>
    <r>
      <rPr>
        <b/>
        <sz val="9"/>
        <color theme="0" tint="-0.499984740745262"/>
        <rFont val="Calibri"/>
        <family val="2"/>
        <scheme val="minor"/>
      </rPr>
      <t>programa</t>
    </r>
    <r>
      <rPr>
        <sz val="9"/>
        <color theme="0" tint="-0.499984740745262"/>
        <rFont val="Calibri"/>
        <family val="2"/>
        <scheme val="minor"/>
      </rPr>
      <t xml:space="preserve"> o calendario de capacitación/formación del personal anual y asegurar su cumplimiento (es auditable).</t>
    </r>
  </si>
  <si>
    <r>
      <t xml:space="preserve">Generar un documento de </t>
    </r>
    <r>
      <rPr>
        <b/>
        <sz val="9"/>
        <color theme="0" tint="-0.499984740745262"/>
        <rFont val="Calibri"/>
        <family val="2"/>
        <scheme val="minor"/>
      </rPr>
      <t>autorización</t>
    </r>
    <r>
      <rPr>
        <sz val="9"/>
        <color theme="0" tint="-0.499984740745262"/>
        <rFont val="Calibri"/>
        <family val="2"/>
        <scheme val="minor"/>
      </rPr>
      <t xml:space="preserve"> de cada persona para realizar actividades en el SGM.</t>
    </r>
  </si>
  <si>
    <r>
      <t xml:space="preserve">Generar una </t>
    </r>
    <r>
      <rPr>
        <b/>
        <sz val="9"/>
        <color theme="0" tint="-0.499984740745262"/>
        <rFont val="Calibri"/>
        <family val="2"/>
        <scheme val="minor"/>
      </rPr>
      <t>lista maestra</t>
    </r>
    <r>
      <rPr>
        <sz val="9"/>
        <color theme="0" tint="-0.499984740745262"/>
        <rFont val="Calibri"/>
        <family val="2"/>
        <scheme val="minor"/>
      </rPr>
      <t xml:space="preserve"> de control de documentos y software (inventario).</t>
    </r>
  </si>
  <si>
    <t>Documentar los requisitos metrológicos requeridos para la adquisición de productos y servicios de la Organización. Generar registros de los proveedores evaluados.</t>
  </si>
  <si>
    <t>El procedimiento de confirmación debe incluir la determinación inicial y el ajuste de los periodos para realizar la confirmación metrológica.</t>
  </si>
  <si>
    <t>El procedimiento de confirmación debe incluir la implementación de mecanismos para la gestión de ajustes y protección de daño o manipulación no deseada a equipo y software del SGM.</t>
  </si>
  <si>
    <t>El procedimiento de confirmación debe incluir instrucciones para la gestión de registros generados de las confirmaciones metrológicas realizadas, incluyendo su aprobación por personal autorizado. Los registros deben incluir la información indicada en 7.1.4 de la norma ISO 10012-2003.</t>
  </si>
  <si>
    <r>
      <t xml:space="preserve">Elaborar un </t>
    </r>
    <r>
      <rPr>
        <b/>
        <sz val="9"/>
        <color theme="0" tint="-0.499984740745262"/>
        <rFont val="Calibri"/>
        <family val="2"/>
        <scheme val="minor"/>
      </rPr>
      <t>procedimiento y formato</t>
    </r>
    <r>
      <rPr>
        <sz val="9"/>
        <color theme="0" tint="-0.499984740745262"/>
        <rFont val="Calibri"/>
        <family val="2"/>
        <scheme val="minor"/>
      </rPr>
      <t xml:space="preserve"> para que los procesos de medición sean planeados, validados, implementados, documentados y controlados. Los procesos de medición deben diseñarse para evitar errores, rápida detección de fallas y la oportunidad de aplicar acciones correctivas.</t>
    </r>
  </si>
  <si>
    <t>Identificar y cuantificar las magnitudes de incluencia que afectan los procesos de medición.</t>
  </si>
  <si>
    <t>Generar registros de diseño, validación e implementación de los procesos de medición del SGM. Así como para demostrar el cumplimiento de los requisitos del proceso de medicion.</t>
  </si>
  <si>
    <r>
      <t xml:space="preserve">Elaborar </t>
    </r>
    <r>
      <rPr>
        <b/>
        <sz val="9"/>
        <color theme="0" tint="-0.499984740745262"/>
        <rFont val="Calibri"/>
        <family val="2"/>
        <scheme val="minor"/>
      </rPr>
      <t xml:space="preserve">procedimiento y formato </t>
    </r>
    <r>
      <rPr>
        <sz val="9"/>
        <color theme="0" tint="-0.499984740745262"/>
        <rFont val="Calibri"/>
        <family val="2"/>
        <scheme val="minor"/>
      </rPr>
      <t>para estimación de la incertidumbre de cada mensurando (magnitud deseada a medir) de cada proceso de medición.</t>
    </r>
  </si>
  <si>
    <r>
      <t xml:space="preserve">Elaborar un </t>
    </r>
    <r>
      <rPr>
        <b/>
        <sz val="9"/>
        <color theme="0" tint="-0.499984740745262"/>
        <rFont val="Calibri"/>
        <family val="2"/>
        <scheme val="minor"/>
      </rPr>
      <t>procedimiento y formato</t>
    </r>
    <r>
      <rPr>
        <sz val="9"/>
        <color theme="0" tint="-0.499984740745262"/>
        <rFont val="Calibri"/>
        <family val="2"/>
        <scheme val="minor"/>
      </rPr>
      <t xml:space="preserve"> para realizar auditorías internas al SGM de manera periódica (máximo cada doce meses o lo indicado por el regulador).</t>
    </r>
  </si>
  <si>
    <r>
      <t xml:space="preserve">Elaborar </t>
    </r>
    <r>
      <rPr>
        <b/>
        <sz val="9"/>
        <color theme="0" tint="-0.499984740745262"/>
        <rFont val="Calibri"/>
        <family val="2"/>
        <scheme val="minor"/>
      </rPr>
      <t>procedimiento y formato</t>
    </r>
    <r>
      <rPr>
        <sz val="9"/>
        <color theme="0" tint="-0.499984740745262"/>
        <rFont val="Calibri"/>
        <family val="2"/>
        <scheme val="minor"/>
      </rPr>
      <t xml:space="preserve"> para la gestión de no conformidades al SGM.</t>
    </r>
  </si>
  <si>
    <t xml:space="preserve">
Actividad a realizar</t>
  </si>
  <si>
    <t>Actividad a realizar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</si>
</sst>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b/>
      <sz val="9"/>
      <color theme="1"/>
      <name val="Calibri"/>
      <family val="2"/>
      <scheme val="minor"/>
    </font>
    <font>
      <b/>
      <sz val="9"/>
      <name val="Calibri"/>
      <family val="2"/>
      <scheme val="minor"/>
    </font>
    <font>
      <sz val="9"/>
      <color theme="1"/>
      <name val="Calibri"/>
      <family val="2"/>
      <scheme val="minor"/>
    </font>
    <font>
      <sz val="9"/>
      <name val="Calibri"/>
      <family val="2"/>
      <scheme val="minor"/>
    </font>
    <font>
      <sz val="9"/>
      <color theme="0" tint="-0.499984740745262"/>
      <name val="Calibri"/>
      <family val="2"/>
      <scheme val="minor"/>
    </font>
    <font>
      <b/>
      <sz val="9"/>
      <color theme="0" tint="-0.499984740745262"/>
      <name val="Calibri"/>
      <family val="2"/>
      <scheme val="minor"/>
    </font>
    <font>
      <sz val="7"/>
      <name val="Calibri"/>
      <family val="2"/>
      <scheme val="minor"/>
    </font>
    <font>
      <b/>
      <sz val="7"/>
      <color rgb="FF00B050"/>
      <name val="Calibri"/>
      <family val="2"/>
      <scheme val="minor"/>
    </font>
    <font>
      <sz val="7"/>
      <color rgb="FF00B050"/>
      <name val="Calibri"/>
      <family val="2"/>
      <scheme val="minor"/>
    </font>
    <font>
      <u/>
      <sz val="11"/>
      <color theme="10"/>
      <name val="Calibri"/>
      <family val="2"/>
      <scheme val="minor"/>
    </font>
  </fonts>
  <fills count="7">
    <fill>
      <patternFill patternType="none"/>
    </fill>
    <fill>
      <patternFill patternType="gray125"/>
    </fill>
    <fill>
      <patternFill patternType="solid">
        <fgColor theme="6" tint="0.39997558519241921"/>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59999389629810485"/>
        <bgColor indexed="64"/>
      </patternFill>
    </fill>
    <fill>
      <patternFill patternType="solid">
        <fgColor rgb="FF00B050"/>
        <bgColor indexed="64"/>
      </patternFill>
    </fill>
  </fills>
  <borders count="11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medium">
        <color indexed="64"/>
      </top>
      <bottom style="medium">
        <color indexed="64"/>
      </bottom>
      <diagonal/>
    </border>
    <border>
      <left/>
      <right style="thin">
        <color indexed="64"/>
      </right>
      <top style="thin">
        <color indexed="64"/>
      </top>
      <bottom/>
      <diagonal/>
    </border>
    <border>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indexed="64"/>
      </right>
      <top style="thin">
        <color theme="0" tint="-0.24994659260841701"/>
      </top>
      <bottom style="thin">
        <color theme="0" tint="-0.24994659260841701"/>
      </bottom>
      <diagonal/>
    </border>
    <border>
      <left style="medium">
        <color indexed="64"/>
      </left>
      <right style="thin">
        <color theme="0" tint="-0.24994659260841701"/>
      </right>
      <top style="thin">
        <color theme="0" tint="-0.24994659260841701"/>
      </top>
      <bottom style="medium">
        <color indexed="64"/>
      </bottom>
      <diagonal/>
    </border>
    <border>
      <left style="thin">
        <color theme="0" tint="-0.24994659260841701"/>
      </left>
      <right style="thin">
        <color theme="0" tint="-0.24994659260841701"/>
      </right>
      <top style="thin">
        <color theme="0" tint="-0.24994659260841701"/>
      </top>
      <bottom style="medium">
        <color indexed="64"/>
      </bottom>
      <diagonal/>
    </border>
    <border>
      <left style="thin">
        <color theme="0" tint="-0.24994659260841701"/>
      </left>
      <right style="medium">
        <color indexed="64"/>
      </right>
      <top style="thin">
        <color theme="0" tint="-0.24994659260841701"/>
      </top>
      <bottom style="medium">
        <color indexed="64"/>
      </bottom>
      <diagonal/>
    </border>
    <border>
      <left style="medium">
        <color indexed="64"/>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indexed="64"/>
      </right>
      <top/>
      <bottom style="thin">
        <color theme="0" tint="-0.24994659260841701"/>
      </bottom>
      <diagonal/>
    </border>
    <border>
      <left style="medium">
        <color indexed="64"/>
      </left>
      <right style="thin">
        <color theme="0" tint="-0.24994659260841701"/>
      </right>
      <top style="medium">
        <color indexed="64"/>
      </top>
      <bottom style="thin">
        <color indexed="64"/>
      </bottom>
      <diagonal/>
    </border>
    <border>
      <left style="thin">
        <color theme="0" tint="-0.24994659260841701"/>
      </left>
      <right style="thin">
        <color theme="0" tint="-0.24994659260841701"/>
      </right>
      <top style="medium">
        <color indexed="64"/>
      </top>
      <bottom style="thin">
        <color indexed="64"/>
      </bottom>
      <diagonal/>
    </border>
    <border>
      <left style="thin">
        <color theme="0" tint="-0.24994659260841701"/>
      </left>
      <right style="medium">
        <color indexed="64"/>
      </right>
      <top style="medium">
        <color indexed="64"/>
      </top>
      <bottom style="thin">
        <color indexed="64"/>
      </bottom>
      <diagonal/>
    </border>
    <border>
      <left style="thin">
        <color theme="0" tint="-0.24994659260841701"/>
      </left>
      <right/>
      <top style="medium">
        <color indexed="64"/>
      </top>
      <bottom style="thin">
        <color indexed="64"/>
      </bottom>
      <diagonal/>
    </border>
    <border>
      <left style="thin">
        <color theme="0" tint="-0.24994659260841701"/>
      </left>
      <right/>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style="thin">
        <color theme="0" tint="-0.24994659260841701"/>
      </left>
      <right/>
      <top style="thin">
        <color theme="0" tint="-0.24994659260841701"/>
      </top>
      <bottom style="medium">
        <color indexed="64"/>
      </bottom>
      <diagonal/>
    </border>
    <border>
      <left style="thin">
        <color indexed="64"/>
      </left>
      <right style="thin">
        <color theme="0" tint="-0.24994659260841701"/>
      </right>
      <top style="medium">
        <color indexed="64"/>
      </top>
      <bottom style="thin">
        <color indexed="64"/>
      </bottom>
      <diagonal/>
    </border>
    <border>
      <left style="thin">
        <color indexed="64"/>
      </left>
      <right style="thin">
        <color theme="0" tint="-0.24994659260841701"/>
      </right>
      <top/>
      <bottom style="thin">
        <color theme="0" tint="-0.24994659260841701"/>
      </bottom>
      <diagonal/>
    </border>
    <border>
      <left style="thin">
        <color indexed="64"/>
      </left>
      <right style="thin">
        <color theme="0" tint="-0.24994659260841701"/>
      </right>
      <top style="thin">
        <color theme="0" tint="-0.24994659260841701"/>
      </top>
      <bottom style="thin">
        <color theme="0" tint="-0.24994659260841701"/>
      </bottom>
      <diagonal/>
    </border>
    <border>
      <left style="thin">
        <color indexed="64"/>
      </left>
      <right style="thin">
        <color theme="0" tint="-0.24994659260841701"/>
      </right>
      <top style="thin">
        <color theme="0" tint="-0.24994659260841701"/>
      </top>
      <bottom style="medium">
        <color indexed="64"/>
      </bottom>
      <diagonal/>
    </border>
    <border>
      <left/>
      <right style="thin">
        <color theme="0" tint="-0.24994659260841701"/>
      </right>
      <top style="medium">
        <color indexed="64"/>
      </top>
      <bottom style="thin">
        <color indexed="64"/>
      </bottom>
      <diagonal/>
    </border>
    <border>
      <left/>
      <right style="thin">
        <color theme="0" tint="-0.24994659260841701"/>
      </right>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style="thin">
        <color theme="0" tint="-0.24994659260841701"/>
      </right>
      <top style="thin">
        <color theme="0" tint="-0.24994659260841701"/>
      </top>
      <bottom style="medium">
        <color indexed="64"/>
      </bottom>
      <diagonal/>
    </border>
    <border>
      <left style="thin">
        <color theme="0" tint="-0.24994659260841701"/>
      </left>
      <right style="thin">
        <color indexed="64"/>
      </right>
      <top style="medium">
        <color indexed="64"/>
      </top>
      <bottom style="thin">
        <color indexed="64"/>
      </bottom>
      <diagonal/>
    </border>
    <border>
      <left style="thin">
        <color theme="0" tint="-0.24994659260841701"/>
      </left>
      <right style="thin">
        <color indexed="64"/>
      </right>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theme="0" tint="-0.24994659260841701"/>
      </left>
      <right style="thin">
        <color indexed="64"/>
      </right>
      <top style="thin">
        <color theme="0" tint="-0.24994659260841701"/>
      </top>
      <bottom style="medium">
        <color indexed="64"/>
      </bottom>
      <diagonal/>
    </border>
    <border>
      <left style="medium">
        <color indexed="64"/>
      </left>
      <right style="thin">
        <color theme="0" tint="-0.24994659260841701"/>
      </right>
      <top/>
      <bottom style="medium">
        <color indexed="64"/>
      </bottom>
      <diagonal/>
    </border>
    <border>
      <left style="thin">
        <color theme="0" tint="-0.24994659260841701"/>
      </left>
      <right style="thin">
        <color theme="0" tint="-0.24994659260841701"/>
      </right>
      <top/>
      <bottom style="medium">
        <color indexed="64"/>
      </bottom>
      <diagonal/>
    </border>
    <border>
      <left style="thin">
        <color theme="0" tint="-0.24994659260841701"/>
      </left>
      <right/>
      <top/>
      <bottom style="medium">
        <color indexed="64"/>
      </bottom>
      <diagonal/>
    </border>
    <border>
      <left style="thin">
        <color indexed="64"/>
      </left>
      <right style="thin">
        <color theme="0" tint="-0.24994659260841701"/>
      </right>
      <top/>
      <bottom style="medium">
        <color indexed="64"/>
      </bottom>
      <diagonal/>
    </border>
    <border>
      <left style="thin">
        <color theme="0" tint="-0.24994659260841701"/>
      </left>
      <right style="thin">
        <color indexed="64"/>
      </right>
      <top/>
      <bottom style="medium">
        <color indexed="64"/>
      </bottom>
      <diagonal/>
    </border>
    <border>
      <left/>
      <right style="thin">
        <color theme="0" tint="-0.24994659260841701"/>
      </right>
      <top/>
      <bottom style="medium">
        <color indexed="64"/>
      </bottom>
      <diagonal/>
    </border>
    <border>
      <left style="thin">
        <color theme="0" tint="-0.24994659260841701"/>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theme="0" tint="-0.24994659260841701"/>
      </left>
      <right style="thin">
        <color theme="0" tint="-0.24994659260841701"/>
      </right>
      <top/>
      <bottom style="thin">
        <color indexed="64"/>
      </bottom>
      <diagonal/>
    </border>
    <border>
      <left style="thin">
        <color theme="0" tint="-0.24994659260841701"/>
      </left>
      <right/>
      <top/>
      <bottom style="thin">
        <color indexed="64"/>
      </bottom>
      <diagonal/>
    </border>
    <border>
      <left style="thin">
        <color indexed="64"/>
      </left>
      <right style="thin">
        <color theme="0" tint="-0.24994659260841701"/>
      </right>
      <top/>
      <bottom style="thin">
        <color indexed="64"/>
      </bottom>
      <diagonal/>
    </border>
    <border>
      <left style="thin">
        <color theme="0" tint="-0.24994659260841701"/>
      </left>
      <right style="thin">
        <color indexed="64"/>
      </right>
      <top/>
      <bottom style="thin">
        <color indexed="64"/>
      </bottom>
      <diagonal/>
    </border>
    <border>
      <left/>
      <right style="thin">
        <color theme="0" tint="-0.24994659260841701"/>
      </right>
      <top/>
      <bottom style="thin">
        <color indexed="64"/>
      </bottom>
      <diagonal/>
    </border>
    <border>
      <left style="thin">
        <color theme="0" tint="-0.24994659260841701"/>
      </left>
      <right style="medium">
        <color indexed="64"/>
      </right>
      <top/>
      <bottom style="thin">
        <color indexed="64"/>
      </bottom>
      <diagonal/>
    </border>
    <border>
      <left style="thin">
        <color theme="0" tint="-0.24994659260841701"/>
      </left>
      <right style="thin">
        <color theme="0" tint="-0.24994659260841701"/>
      </right>
      <top style="thin">
        <color indexed="64"/>
      </top>
      <bottom style="thin">
        <color indexed="64"/>
      </bottom>
      <diagonal/>
    </border>
    <border>
      <left style="thin">
        <color theme="0" tint="-0.24994659260841701"/>
      </left>
      <right/>
      <top style="thin">
        <color indexed="64"/>
      </top>
      <bottom style="thin">
        <color indexed="64"/>
      </bottom>
      <diagonal/>
    </border>
    <border>
      <left style="thin">
        <color indexed="64"/>
      </left>
      <right style="thin">
        <color theme="0" tint="-0.24994659260841701"/>
      </right>
      <top style="thin">
        <color indexed="64"/>
      </top>
      <bottom style="thin">
        <color indexed="64"/>
      </bottom>
      <diagonal/>
    </border>
    <border>
      <left style="thin">
        <color theme="0" tint="-0.24994659260841701"/>
      </left>
      <right style="thin">
        <color indexed="64"/>
      </right>
      <top style="thin">
        <color indexed="64"/>
      </top>
      <bottom style="thin">
        <color indexed="64"/>
      </bottom>
      <diagonal/>
    </border>
    <border>
      <left/>
      <right style="thin">
        <color theme="0" tint="-0.24994659260841701"/>
      </right>
      <top style="thin">
        <color indexed="64"/>
      </top>
      <bottom style="thin">
        <color indexed="64"/>
      </bottom>
      <diagonal/>
    </border>
    <border>
      <left style="thin">
        <color theme="0" tint="-0.24994659260841701"/>
      </left>
      <right style="medium">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medium">
        <color indexed="64"/>
      </bottom>
      <diagonal/>
    </border>
    <border>
      <left/>
      <right/>
      <top/>
      <bottom style="thin">
        <color theme="0" tint="-0.499984740745262"/>
      </bottom>
      <diagonal/>
    </border>
    <border>
      <left/>
      <right/>
      <top style="thin">
        <color theme="0" tint="-0.499984740745262"/>
      </top>
      <bottom style="thin">
        <color theme="0" tint="-0.499984740745262"/>
      </bottom>
      <diagonal/>
    </border>
    <border>
      <left/>
      <right/>
      <top style="thin">
        <color theme="0" tint="-0.499984740745262"/>
      </top>
      <bottom/>
      <diagonal/>
    </border>
    <border>
      <left/>
      <right/>
      <top style="thin">
        <color theme="0" tint="-0.499984740745262"/>
      </top>
      <bottom style="medium">
        <color indexed="64"/>
      </bottom>
      <diagonal/>
    </border>
    <border>
      <left style="thin">
        <color indexed="64"/>
      </left>
      <right style="medium">
        <color indexed="64"/>
      </right>
      <top/>
      <bottom style="thin">
        <color theme="0" tint="-0.499984740745262"/>
      </bottom>
      <diagonal/>
    </border>
    <border>
      <left style="thin">
        <color indexed="64"/>
      </left>
      <right style="medium">
        <color indexed="64"/>
      </right>
      <top style="thin">
        <color theme="0" tint="-0.499984740745262"/>
      </top>
      <bottom style="thin">
        <color theme="0" tint="-0.499984740745262"/>
      </bottom>
      <diagonal/>
    </border>
    <border>
      <left style="thin">
        <color indexed="64"/>
      </left>
      <right style="medium">
        <color indexed="64"/>
      </right>
      <top style="thin">
        <color theme="0" tint="-0.499984740745262"/>
      </top>
      <bottom style="medium">
        <color indexed="64"/>
      </bottom>
      <diagonal/>
    </border>
    <border>
      <left/>
      <right/>
      <top style="medium">
        <color indexed="64"/>
      </top>
      <bottom/>
      <diagonal/>
    </border>
    <border>
      <left style="thin">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diagonal/>
    </border>
    <border>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bottom style="medium">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style="medium">
        <color indexed="64"/>
      </right>
      <top style="thin">
        <color theme="0" tint="-0.499984740745262"/>
      </top>
      <bottom/>
      <diagonal/>
    </border>
    <border>
      <left style="medium">
        <color indexed="64"/>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
      <left style="thin">
        <color indexed="64"/>
      </left>
      <right style="thin">
        <color theme="0" tint="-0.24994659260841701"/>
      </right>
      <top style="thin">
        <color theme="0" tint="-0.24994659260841701"/>
      </top>
      <bottom/>
      <diagonal/>
    </border>
    <border>
      <left style="thin">
        <color theme="0" tint="-0.24994659260841701"/>
      </left>
      <right style="thin">
        <color indexed="64"/>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style="medium">
        <color indexed="64"/>
      </right>
      <top style="thin">
        <color theme="0" tint="-0.24994659260841701"/>
      </top>
      <bottom/>
      <diagonal/>
    </border>
    <border>
      <left style="medium">
        <color indexed="64"/>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top/>
      <bottom/>
      <diagonal/>
    </border>
    <border>
      <left style="thin">
        <color indexed="64"/>
      </left>
      <right style="thin">
        <color theme="0" tint="-0.24994659260841701"/>
      </right>
      <top/>
      <bottom/>
      <diagonal/>
    </border>
    <border>
      <left style="thin">
        <color theme="0" tint="-0.24994659260841701"/>
      </left>
      <right style="thin">
        <color indexed="64"/>
      </right>
      <top/>
      <bottom/>
      <diagonal/>
    </border>
    <border>
      <left/>
      <right style="thin">
        <color theme="0" tint="-0.24994659260841701"/>
      </right>
      <top/>
      <bottom/>
      <diagonal/>
    </border>
    <border>
      <left style="thin">
        <color theme="0" tint="-0.24994659260841701"/>
      </left>
      <right style="medium">
        <color indexed="64"/>
      </right>
      <top/>
      <bottom/>
      <diagonal/>
    </border>
    <border>
      <left style="thin">
        <color indexed="64"/>
      </left>
      <right/>
      <top style="thin">
        <color indexed="64"/>
      </top>
      <bottom style="thin">
        <color theme="0" tint="-0.499984740745262"/>
      </bottom>
      <diagonal/>
    </border>
    <border>
      <left style="thin">
        <color indexed="64"/>
      </left>
      <right style="medium">
        <color indexed="64"/>
      </right>
      <top style="thin">
        <color indexed="64"/>
      </top>
      <bottom style="thin">
        <color theme="0" tint="-0.499984740745262"/>
      </bottom>
      <diagonal/>
    </border>
    <border>
      <left style="thin">
        <color indexed="64"/>
      </left>
      <right/>
      <top style="thin">
        <color theme="0" tint="-0.499984740745262"/>
      </top>
      <bottom style="thin">
        <color indexed="64"/>
      </bottom>
      <diagonal/>
    </border>
  </borders>
  <cellStyleXfs count="2">
    <xf numFmtId="0" fontId="0" fillId="0" borderId="0"/>
    <xf numFmtId="0" fontId="10" fillId="0" borderId="0" applyNumberFormat="0" applyFill="0" applyBorder="0" applyAlignment="0" applyProtection="0"/>
  </cellStyleXfs>
  <cellXfs count="168">
    <xf numFmtId="0" fontId="0" fillId="0" borderId="0" xfId="0"/>
    <xf numFmtId="0" fontId="3" fillId="0" borderId="0" xfId="0" applyFont="1" applyAlignment="1">
      <alignment vertical="center"/>
    </xf>
    <xf numFmtId="0" fontId="4" fillId="0" borderId="0" xfId="0" applyFont="1" applyAlignment="1">
      <alignment horizontal="justify" vertical="center" wrapText="1"/>
    </xf>
    <xf numFmtId="0" fontId="3" fillId="0" borderId="0" xfId="0" applyFont="1" applyAlignment="1">
      <alignment vertical="center" wrapText="1"/>
    </xf>
    <xf numFmtId="0" fontId="1" fillId="0" borderId="0" xfId="0" applyFont="1" applyAlignment="1">
      <alignment vertical="center"/>
    </xf>
    <xf numFmtId="0" fontId="3" fillId="0" borderId="0" xfId="0" applyFont="1" applyAlignment="1">
      <alignment horizontal="center" vertical="center"/>
    </xf>
    <xf numFmtId="0" fontId="1" fillId="0" borderId="0" xfId="0" applyFont="1" applyAlignment="1">
      <alignment vertical="center" wrapText="1"/>
    </xf>
    <xf numFmtId="0" fontId="5" fillId="0" borderId="6" xfId="0" applyFont="1" applyBorder="1" applyAlignment="1">
      <alignment horizontal="justify" vertical="center" wrapText="1"/>
    </xf>
    <xf numFmtId="0" fontId="2" fillId="4" borderId="3" xfId="0" applyFont="1" applyFill="1" applyBorder="1" applyAlignment="1">
      <alignment horizontal="justify" vertical="center" wrapText="1"/>
    </xf>
    <xf numFmtId="0" fontId="5" fillId="0" borderId="70" xfId="0" applyFont="1" applyBorder="1" applyAlignment="1">
      <alignment horizontal="justify" vertical="center" wrapText="1"/>
    </xf>
    <xf numFmtId="0" fontId="5" fillId="0" borderId="71" xfId="0" applyFont="1" applyBorder="1" applyAlignment="1">
      <alignment horizontal="justify" vertical="center" wrapText="1"/>
    </xf>
    <xf numFmtId="0" fontId="5" fillId="0" borderId="72" xfId="0" applyFont="1" applyBorder="1" applyAlignment="1">
      <alignment horizontal="justify" vertical="center" wrapText="1"/>
    </xf>
    <xf numFmtId="0" fontId="3" fillId="0" borderId="73" xfId="0" applyFont="1" applyBorder="1" applyAlignment="1">
      <alignment vertical="center"/>
    </xf>
    <xf numFmtId="0" fontId="1" fillId="3" borderId="7" xfId="0" applyFont="1" applyFill="1" applyBorder="1" applyAlignment="1">
      <alignment horizontal="center" vertical="center" wrapText="1"/>
    </xf>
    <xf numFmtId="0" fontId="1" fillId="3" borderId="7" xfId="0" applyFont="1" applyFill="1" applyBorder="1" applyAlignment="1">
      <alignment horizontal="center" vertical="center"/>
    </xf>
    <xf numFmtId="0" fontId="1" fillId="3" borderId="9" xfId="0" applyFont="1" applyFill="1" applyBorder="1" applyAlignment="1">
      <alignment horizontal="center" vertical="center"/>
    </xf>
    <xf numFmtId="0" fontId="1" fillId="2" borderId="13" xfId="0" applyFont="1" applyFill="1" applyBorder="1" applyAlignment="1">
      <alignment horizontal="center" vertical="center"/>
    </xf>
    <xf numFmtId="0" fontId="3" fillId="0" borderId="50" xfId="0" applyFont="1" applyBorder="1" applyAlignment="1" applyProtection="1">
      <alignment vertical="center"/>
      <protection locked="0"/>
    </xf>
    <xf numFmtId="0" fontId="3" fillId="0" borderId="51" xfId="0" applyFont="1" applyBorder="1" applyAlignment="1" applyProtection="1">
      <alignment vertical="center"/>
      <protection locked="0"/>
    </xf>
    <xf numFmtId="0" fontId="3" fillId="0" borderId="52" xfId="0" applyFont="1" applyBorder="1" applyAlignment="1" applyProtection="1">
      <alignment vertical="center"/>
      <protection locked="0"/>
    </xf>
    <xf numFmtId="0" fontId="3" fillId="0" borderId="53" xfId="0" applyFont="1" applyBorder="1" applyAlignment="1" applyProtection="1">
      <alignment vertical="center"/>
      <protection locked="0"/>
    </xf>
    <xf numFmtId="0" fontId="3" fillId="0" borderId="54" xfId="0" applyFont="1" applyBorder="1" applyAlignment="1" applyProtection="1">
      <alignment vertical="center"/>
      <protection locked="0"/>
    </xf>
    <xf numFmtId="0" fontId="3" fillId="0" borderId="55" xfId="0" applyFont="1" applyBorder="1" applyAlignment="1" applyProtection="1">
      <alignment vertical="center"/>
      <protection locked="0"/>
    </xf>
    <xf numFmtId="0" fontId="3" fillId="0" borderId="20" xfId="0" applyFont="1" applyBorder="1" applyAlignment="1" applyProtection="1">
      <alignment vertical="center"/>
      <protection locked="0"/>
    </xf>
    <xf numFmtId="0" fontId="3" fillId="0" borderId="21" xfId="0" applyFont="1" applyBorder="1" applyAlignment="1" applyProtection="1">
      <alignment vertical="center"/>
      <protection locked="0"/>
    </xf>
    <xf numFmtId="0" fontId="3" fillId="0" borderId="27" xfId="0" applyFont="1" applyBorder="1" applyAlignment="1" applyProtection="1">
      <alignment vertical="center"/>
      <protection locked="0"/>
    </xf>
    <xf numFmtId="0" fontId="3" fillId="0" borderId="31" xfId="0" applyFont="1" applyBorder="1" applyAlignment="1" applyProtection="1">
      <alignment vertical="center"/>
      <protection locked="0"/>
    </xf>
    <xf numFmtId="0" fontId="3" fillId="0" borderId="39" xfId="0" applyFont="1" applyBorder="1" applyAlignment="1" applyProtection="1">
      <alignment vertical="center"/>
      <protection locked="0"/>
    </xf>
    <xf numFmtId="0" fontId="3" fillId="0" borderId="35" xfId="0" applyFont="1" applyBorder="1" applyAlignment="1" applyProtection="1">
      <alignment vertical="center"/>
      <protection locked="0"/>
    </xf>
    <xf numFmtId="0" fontId="3" fillId="0" borderId="22" xfId="0" applyFont="1" applyBorder="1" applyAlignment="1" applyProtection="1">
      <alignment vertical="center"/>
      <protection locked="0"/>
    </xf>
    <xf numFmtId="0" fontId="3" fillId="0" borderId="14" xfId="0" applyFont="1" applyBorder="1" applyAlignment="1" applyProtection="1">
      <alignment vertical="center"/>
      <protection locked="0"/>
    </xf>
    <xf numFmtId="0" fontId="3" fillId="0" borderId="15" xfId="0" applyFont="1" applyBorder="1" applyAlignment="1" applyProtection="1">
      <alignment vertical="center"/>
      <protection locked="0"/>
    </xf>
    <xf numFmtId="0" fontId="3" fillId="0" borderId="28" xfId="0" applyFont="1" applyBorder="1" applyAlignment="1" applyProtection="1">
      <alignment vertical="center"/>
      <protection locked="0"/>
    </xf>
    <xf numFmtId="0" fontId="3" fillId="0" borderId="32" xfId="0" applyFont="1" applyBorder="1" applyAlignment="1" applyProtection="1">
      <alignment vertical="center"/>
      <protection locked="0"/>
    </xf>
    <xf numFmtId="0" fontId="3" fillId="0" borderId="40" xfId="0" applyFont="1" applyBorder="1" applyAlignment="1" applyProtection="1">
      <alignment vertical="center"/>
      <protection locked="0"/>
    </xf>
    <xf numFmtId="0" fontId="3" fillId="0" borderId="36" xfId="0" applyFont="1" applyBorder="1" applyAlignment="1" applyProtection="1">
      <alignment vertical="center"/>
      <protection locked="0"/>
    </xf>
    <xf numFmtId="0" fontId="3" fillId="0" borderId="16" xfId="0" applyFont="1" applyBorder="1" applyAlignment="1" applyProtection="1">
      <alignment vertical="center"/>
      <protection locked="0"/>
    </xf>
    <xf numFmtId="0" fontId="3" fillId="0" borderId="56" xfId="0" applyFont="1" applyBorder="1" applyAlignment="1" applyProtection="1">
      <alignment vertical="center"/>
      <protection locked="0"/>
    </xf>
    <xf numFmtId="0" fontId="3" fillId="0" borderId="57" xfId="0" applyFont="1" applyBorder="1" applyAlignment="1" applyProtection="1">
      <alignment vertical="center"/>
      <protection locked="0"/>
    </xf>
    <xf numFmtId="0" fontId="3" fillId="0" borderId="58" xfId="0" applyFont="1" applyBorder="1" applyAlignment="1" applyProtection="1">
      <alignment vertical="center"/>
      <protection locked="0"/>
    </xf>
    <xf numFmtId="0" fontId="3" fillId="0" borderId="59" xfId="0" applyFont="1" applyBorder="1" applyAlignment="1" applyProtection="1">
      <alignment vertical="center"/>
      <protection locked="0"/>
    </xf>
    <xf numFmtId="0" fontId="3" fillId="0" borderId="60" xfId="0" applyFont="1" applyBorder="1" applyAlignment="1" applyProtection="1">
      <alignment vertical="center"/>
      <protection locked="0"/>
    </xf>
    <xf numFmtId="0" fontId="3" fillId="0" borderId="61" xfId="0" applyFont="1" applyBorder="1" applyAlignment="1" applyProtection="1">
      <alignment vertical="center"/>
      <protection locked="0"/>
    </xf>
    <xf numFmtId="0" fontId="3" fillId="0" borderId="23" xfId="0" applyFont="1" applyBorder="1" applyAlignment="1" applyProtection="1">
      <alignment vertical="center"/>
      <protection locked="0"/>
    </xf>
    <xf numFmtId="0" fontId="3" fillId="0" borderId="24" xfId="0" applyFont="1" applyBorder="1" applyAlignment="1" applyProtection="1">
      <alignment vertical="center"/>
      <protection locked="0"/>
    </xf>
    <xf numFmtId="0" fontId="3" fillId="0" borderId="26" xfId="0" applyFont="1" applyBorder="1" applyAlignment="1" applyProtection="1">
      <alignment vertical="center"/>
      <protection locked="0"/>
    </xf>
    <xf numFmtId="0" fontId="3" fillId="0" borderId="30" xfId="0" applyFont="1" applyBorder="1" applyAlignment="1" applyProtection="1">
      <alignment vertical="center"/>
      <protection locked="0"/>
    </xf>
    <xf numFmtId="0" fontId="3" fillId="0" borderId="38" xfId="0" applyFont="1" applyBorder="1" applyAlignment="1" applyProtection="1">
      <alignment vertical="center"/>
      <protection locked="0"/>
    </xf>
    <xf numFmtId="0" fontId="3" fillId="0" borderId="34" xfId="0" applyFont="1" applyBorder="1" applyAlignment="1" applyProtection="1">
      <alignment vertical="center"/>
      <protection locked="0"/>
    </xf>
    <xf numFmtId="0" fontId="3" fillId="0" borderId="25" xfId="0" applyFont="1" applyBorder="1" applyAlignment="1" applyProtection="1">
      <alignment vertical="center"/>
      <protection locked="0"/>
    </xf>
    <xf numFmtId="2" fontId="8" fillId="3" borderId="77" xfId="0" applyNumberFormat="1" applyFont="1" applyFill="1" applyBorder="1" applyAlignment="1">
      <alignment horizontal="left" vertical="center"/>
    </xf>
    <xf numFmtId="1" fontId="9" fillId="3" borderId="49" xfId="0" applyNumberFormat="1" applyFont="1" applyFill="1" applyBorder="1" applyAlignment="1">
      <alignment horizontal="left" vertical="center"/>
    </xf>
    <xf numFmtId="0" fontId="2" fillId="4" borderId="5" xfId="0" applyFont="1" applyFill="1" applyBorder="1" applyAlignment="1">
      <alignment horizontal="center" vertical="center" wrapText="1"/>
    </xf>
    <xf numFmtId="0" fontId="1" fillId="2" borderId="81" xfId="0" applyFont="1" applyFill="1" applyBorder="1" applyAlignment="1">
      <alignment horizontal="center" vertical="center"/>
    </xf>
    <xf numFmtId="0" fontId="1" fillId="4" borderId="82" xfId="0" applyFont="1" applyFill="1" applyBorder="1" applyAlignment="1">
      <alignment horizontal="center" vertical="center"/>
    </xf>
    <xf numFmtId="0" fontId="3" fillId="0" borderId="17" xfId="0" applyFont="1" applyBorder="1" applyAlignment="1" applyProtection="1">
      <alignment vertical="center"/>
      <protection locked="0"/>
    </xf>
    <xf numFmtId="0" fontId="3" fillId="0" borderId="18" xfId="0" applyFont="1" applyBorder="1" applyAlignment="1" applyProtection="1">
      <alignment vertical="center"/>
      <protection locked="0"/>
    </xf>
    <xf numFmtId="0" fontId="3" fillId="0" borderId="29" xfId="0" applyFont="1" applyBorder="1" applyAlignment="1" applyProtection="1">
      <alignment vertical="center"/>
      <protection locked="0"/>
    </xf>
    <xf numFmtId="0" fontId="3" fillId="0" borderId="33" xfId="0" applyFont="1" applyBorder="1" applyAlignment="1" applyProtection="1">
      <alignment vertical="center"/>
      <protection locked="0"/>
    </xf>
    <xf numFmtId="0" fontId="3" fillId="0" borderId="41" xfId="0" applyFont="1" applyBorder="1" applyAlignment="1" applyProtection="1">
      <alignment vertical="center"/>
      <protection locked="0"/>
    </xf>
    <xf numFmtId="0" fontId="3" fillId="0" borderId="37" xfId="0" applyFont="1" applyBorder="1" applyAlignment="1" applyProtection="1">
      <alignment vertical="center"/>
      <protection locked="0"/>
    </xf>
    <xf numFmtId="0" fontId="3" fillId="0" borderId="19" xfId="0" applyFont="1" applyBorder="1" applyAlignment="1" applyProtection="1">
      <alignment vertical="center"/>
      <protection locked="0"/>
    </xf>
    <xf numFmtId="0" fontId="2" fillId="4" borderId="85" xfId="0" applyFont="1" applyFill="1" applyBorder="1" applyAlignment="1">
      <alignment horizontal="center" vertical="center" wrapText="1"/>
    </xf>
    <xf numFmtId="0" fontId="2" fillId="4" borderId="12" xfId="0" applyFont="1" applyFill="1" applyBorder="1" applyAlignment="1">
      <alignment horizontal="center" vertical="center" wrapText="1"/>
    </xf>
    <xf numFmtId="0" fontId="3" fillId="0" borderId="42" xfId="0" applyFont="1" applyBorder="1" applyAlignment="1" applyProtection="1">
      <alignment vertical="center"/>
      <protection locked="0"/>
    </xf>
    <xf numFmtId="0" fontId="3" fillId="0" borderId="43" xfId="0" applyFont="1" applyBorder="1" applyAlignment="1" applyProtection="1">
      <alignment vertical="center"/>
      <protection locked="0"/>
    </xf>
    <xf numFmtId="0" fontId="3" fillId="0" borderId="44" xfId="0" applyFont="1" applyBorder="1" applyAlignment="1" applyProtection="1">
      <alignment vertical="center"/>
      <protection locked="0"/>
    </xf>
    <xf numFmtId="0" fontId="3" fillId="0" borderId="45" xfId="0" applyFont="1" applyBorder="1" applyAlignment="1" applyProtection="1">
      <alignment vertical="center"/>
      <protection locked="0"/>
    </xf>
    <xf numFmtId="0" fontId="3" fillId="0" borderId="46" xfId="0" applyFont="1" applyBorder="1" applyAlignment="1" applyProtection="1">
      <alignment vertical="center"/>
      <protection locked="0"/>
    </xf>
    <xf numFmtId="0" fontId="3" fillId="0" borderId="47" xfId="0" applyFont="1" applyBorder="1" applyAlignment="1" applyProtection="1">
      <alignment vertical="center"/>
      <protection locked="0"/>
    </xf>
    <xf numFmtId="0" fontId="3" fillId="0" borderId="48" xfId="0" applyFont="1" applyBorder="1" applyAlignment="1" applyProtection="1">
      <alignment vertical="center"/>
      <protection locked="0"/>
    </xf>
    <xf numFmtId="0" fontId="5" fillId="0" borderId="67" xfId="0" applyFont="1" applyBorder="1" applyAlignment="1">
      <alignment horizontal="center" vertical="center"/>
    </xf>
    <xf numFmtId="0" fontId="5" fillId="0" borderId="68" xfId="0" applyFont="1" applyBorder="1" applyAlignment="1">
      <alignment horizontal="center" vertical="center"/>
    </xf>
    <xf numFmtId="0" fontId="5" fillId="0" borderId="66" xfId="0" applyFont="1" applyBorder="1" applyAlignment="1">
      <alignment horizontal="center" vertical="center"/>
    </xf>
    <xf numFmtId="0" fontId="5" fillId="0" borderId="0" xfId="0" applyFont="1" applyAlignment="1">
      <alignment horizontal="center" vertical="center"/>
    </xf>
    <xf numFmtId="0" fontId="5" fillId="0" borderId="69" xfId="0" applyFont="1" applyBorder="1" applyAlignment="1">
      <alignment horizontal="center" vertical="center"/>
    </xf>
    <xf numFmtId="0" fontId="5" fillId="0" borderId="86" xfId="0" applyFont="1" applyBorder="1" applyAlignment="1">
      <alignment horizontal="center" vertical="center"/>
    </xf>
    <xf numFmtId="0" fontId="3" fillId="0" borderId="62" xfId="0" applyFont="1" applyBorder="1" applyAlignment="1" applyProtection="1">
      <alignment vertical="center"/>
      <protection locked="0"/>
    </xf>
    <xf numFmtId="0" fontId="1" fillId="5" borderId="12" xfId="0" applyFont="1" applyFill="1" applyBorder="1" applyAlignment="1">
      <alignment horizontal="center" vertical="center"/>
    </xf>
    <xf numFmtId="0" fontId="1" fillId="5" borderId="13" xfId="0" applyFont="1" applyFill="1" applyBorder="1" applyAlignment="1">
      <alignment horizontal="center" vertical="center"/>
    </xf>
    <xf numFmtId="0" fontId="1" fillId="5" borderId="80" xfId="0" applyFont="1" applyFill="1" applyBorder="1" applyAlignment="1">
      <alignment horizontal="center" vertical="center"/>
    </xf>
    <xf numFmtId="0" fontId="1" fillId="5" borderId="49" xfId="0" applyFont="1" applyFill="1" applyBorder="1" applyAlignment="1">
      <alignment vertical="center" wrapText="1"/>
    </xf>
    <xf numFmtId="0" fontId="1" fillId="5" borderId="7" xfId="0" applyFont="1" applyFill="1" applyBorder="1" applyAlignment="1">
      <alignment vertical="center" wrapText="1"/>
    </xf>
    <xf numFmtId="0" fontId="1" fillId="5" borderId="49" xfId="0" applyFont="1" applyFill="1" applyBorder="1" applyAlignment="1">
      <alignment horizontal="center" vertical="center"/>
    </xf>
    <xf numFmtId="0" fontId="1" fillId="5" borderId="7" xfId="0" applyFont="1" applyFill="1" applyBorder="1" applyAlignment="1">
      <alignment horizontal="center" vertical="center"/>
    </xf>
    <xf numFmtId="0" fontId="1" fillId="5" borderId="9" xfId="0" applyFont="1" applyFill="1" applyBorder="1" applyAlignment="1">
      <alignment horizontal="center" vertical="center"/>
    </xf>
    <xf numFmtId="0" fontId="1" fillId="5" borderId="9"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4" borderId="80" xfId="0" applyFont="1" applyFill="1" applyBorder="1" applyAlignment="1">
      <alignment horizontal="center" vertical="center" wrapText="1"/>
    </xf>
    <xf numFmtId="0" fontId="3" fillId="3" borderId="73" xfId="0" applyFont="1" applyFill="1" applyBorder="1" applyAlignment="1">
      <alignment vertical="center"/>
    </xf>
    <xf numFmtId="1" fontId="8" fillId="3" borderId="90" xfId="0" applyNumberFormat="1" applyFont="1" applyFill="1" applyBorder="1" applyAlignment="1">
      <alignment horizontal="left" vertical="center"/>
    </xf>
    <xf numFmtId="0" fontId="3" fillId="3" borderId="91" xfId="0" applyFont="1" applyFill="1" applyBorder="1" applyAlignment="1">
      <alignment vertical="center"/>
    </xf>
    <xf numFmtId="0" fontId="3" fillId="3" borderId="86" xfId="0" applyFont="1" applyFill="1" applyBorder="1" applyAlignment="1">
      <alignment vertical="center"/>
    </xf>
    <xf numFmtId="0" fontId="3" fillId="3" borderId="78" xfId="0" applyFont="1" applyFill="1" applyBorder="1" applyAlignment="1">
      <alignment vertical="center"/>
    </xf>
    <xf numFmtId="0" fontId="1" fillId="2" borderId="8" xfId="0" applyFont="1" applyFill="1" applyBorder="1" applyAlignment="1">
      <alignment horizontal="center" vertical="center"/>
    </xf>
    <xf numFmtId="1" fontId="9" fillId="3" borderId="9" xfId="0" applyNumberFormat="1" applyFont="1" applyFill="1" applyBorder="1" applyAlignment="1">
      <alignment horizontal="right" vertical="center"/>
    </xf>
    <xf numFmtId="1" fontId="4" fillId="4" borderId="87" xfId="0" applyNumberFormat="1" applyFont="1" applyFill="1" applyBorder="1" applyAlignment="1">
      <alignment horizontal="center" vertical="center" wrapText="1"/>
    </xf>
    <xf numFmtId="0" fontId="3" fillId="0" borderId="0" xfId="0" applyFont="1"/>
    <xf numFmtId="0" fontId="2" fillId="4" borderId="77" xfId="0" applyFont="1" applyFill="1" applyBorder="1" applyAlignment="1">
      <alignment horizontal="center" vertical="center" wrapText="1"/>
    </xf>
    <xf numFmtId="0" fontId="4" fillId="4" borderId="78" xfId="0" applyFont="1" applyFill="1" applyBorder="1" applyAlignment="1">
      <alignment horizontal="center" vertical="center" wrapText="1"/>
    </xf>
    <xf numFmtId="0" fontId="3" fillId="0" borderId="1" xfId="0" applyFont="1" applyBorder="1"/>
    <xf numFmtId="0" fontId="4" fillId="4" borderId="76" xfId="0" applyFont="1" applyFill="1" applyBorder="1" applyAlignment="1">
      <alignment horizontal="center" vertical="center" wrapText="1"/>
    </xf>
    <xf numFmtId="0" fontId="3" fillId="0" borderId="65" xfId="0" applyFont="1" applyBorder="1"/>
    <xf numFmtId="0" fontId="5" fillId="0" borderId="92" xfId="0" applyFont="1" applyBorder="1" applyAlignment="1">
      <alignment horizontal="justify" vertical="center" wrapText="1"/>
    </xf>
    <xf numFmtId="0" fontId="5" fillId="0" borderId="93" xfId="0" applyFont="1" applyBorder="1" applyAlignment="1">
      <alignment horizontal="justify" vertical="center" wrapText="1"/>
    </xf>
    <xf numFmtId="0" fontId="3" fillId="0" borderId="94" xfId="0" applyFont="1" applyBorder="1" applyAlignment="1" applyProtection="1">
      <alignment vertical="center"/>
      <protection locked="0"/>
    </xf>
    <xf numFmtId="0" fontId="3" fillId="0" borderId="95" xfId="0" applyFont="1" applyBorder="1" applyAlignment="1" applyProtection="1">
      <alignment vertical="center"/>
      <protection locked="0"/>
    </xf>
    <xf numFmtId="0" fontId="3" fillId="0" borderId="96" xfId="0" applyFont="1" applyBorder="1" applyAlignment="1" applyProtection="1">
      <alignment vertical="center"/>
      <protection locked="0"/>
    </xf>
    <xf numFmtId="0" fontId="3" fillId="0" borderId="97" xfId="0" applyFont="1" applyBorder="1" applyAlignment="1" applyProtection="1">
      <alignment vertical="center"/>
      <protection locked="0"/>
    </xf>
    <xf numFmtId="0" fontId="3" fillId="0" borderId="98" xfId="0" applyFont="1" applyBorder="1" applyAlignment="1" applyProtection="1">
      <alignment vertical="center"/>
      <protection locked="0"/>
    </xf>
    <xf numFmtId="0" fontId="3" fillId="0" borderId="99" xfId="0" applyFont="1" applyBorder="1" applyAlignment="1" applyProtection="1">
      <alignment vertical="center"/>
      <protection locked="0"/>
    </xf>
    <xf numFmtId="0" fontId="3" fillId="0" borderId="100" xfId="0" applyFont="1" applyBorder="1" applyAlignment="1" applyProtection="1">
      <alignment vertical="center"/>
      <protection locked="0"/>
    </xf>
    <xf numFmtId="0" fontId="3" fillId="0" borderId="101" xfId="0" applyFont="1" applyBorder="1" applyAlignment="1" applyProtection="1">
      <alignment vertical="center"/>
      <protection locked="0"/>
    </xf>
    <xf numFmtId="0" fontId="3" fillId="0" borderId="102" xfId="0" applyFont="1" applyBorder="1" applyAlignment="1" applyProtection="1">
      <alignment vertical="center"/>
      <protection locked="0"/>
    </xf>
    <xf numFmtId="0" fontId="3" fillId="0" borderId="103" xfId="0" applyFont="1" applyBorder="1" applyAlignment="1" applyProtection="1">
      <alignment vertical="center"/>
      <protection locked="0"/>
    </xf>
    <xf numFmtId="0" fontId="3" fillId="0" borderId="104" xfId="0" applyFont="1" applyBorder="1" applyAlignment="1" applyProtection="1">
      <alignment vertical="center"/>
      <protection locked="0"/>
    </xf>
    <xf numFmtId="0" fontId="3" fillId="0" borderId="105" xfId="0" applyFont="1" applyBorder="1" applyAlignment="1" applyProtection="1">
      <alignment vertical="center"/>
      <protection locked="0"/>
    </xf>
    <xf numFmtId="0" fontId="3" fillId="0" borderId="106" xfId="0" applyFont="1" applyBorder="1" applyAlignment="1" applyProtection="1">
      <alignment vertical="center"/>
      <protection locked="0"/>
    </xf>
    <xf numFmtId="0" fontId="3" fillId="0" borderId="107" xfId="0" applyFont="1" applyBorder="1" applyAlignment="1" applyProtection="1">
      <alignment vertical="center"/>
      <protection locked="0"/>
    </xf>
    <xf numFmtId="0" fontId="5" fillId="0" borderId="74" xfId="0" applyFont="1" applyBorder="1" applyAlignment="1">
      <alignment horizontal="justify" vertical="center" wrapText="1"/>
    </xf>
    <xf numFmtId="0" fontId="5" fillId="0" borderId="84" xfId="0" applyFont="1" applyBorder="1" applyAlignment="1">
      <alignment horizontal="center" vertical="center"/>
    </xf>
    <xf numFmtId="0" fontId="5" fillId="0" borderId="108" xfId="0" applyFont="1" applyBorder="1" applyAlignment="1">
      <alignment horizontal="center" vertical="center"/>
    </xf>
    <xf numFmtId="0" fontId="5" fillId="0" borderId="109" xfId="0" applyFont="1" applyBorder="1" applyAlignment="1">
      <alignment horizontal="justify" vertical="center" wrapText="1"/>
    </xf>
    <xf numFmtId="0" fontId="5" fillId="0" borderId="110" xfId="0" applyFont="1" applyBorder="1" applyAlignment="1">
      <alignment horizontal="center" vertical="center"/>
    </xf>
    <xf numFmtId="0" fontId="1" fillId="3" borderId="7" xfId="1" applyFont="1" applyFill="1" applyBorder="1" applyAlignment="1">
      <alignment horizontal="center" vertical="center" wrapText="1"/>
    </xf>
    <xf numFmtId="0" fontId="3" fillId="6" borderId="54" xfId="0" applyFont="1" applyFill="1" applyBorder="1" applyAlignment="1" applyProtection="1">
      <alignment vertical="center"/>
      <protection locked="0"/>
    </xf>
    <xf numFmtId="0" fontId="3" fillId="6" borderId="56" xfId="0" applyFont="1" applyFill="1" applyBorder="1" applyAlignment="1" applyProtection="1">
      <alignment vertical="center"/>
      <protection locked="0"/>
    </xf>
    <xf numFmtId="0" fontId="3" fillId="6" borderId="57" xfId="0" applyFont="1" applyFill="1" applyBorder="1" applyAlignment="1" applyProtection="1">
      <alignment vertical="center"/>
      <protection locked="0"/>
    </xf>
    <xf numFmtId="0" fontId="3" fillId="6" borderId="58" xfId="0" applyFont="1" applyFill="1" applyBorder="1" applyAlignment="1" applyProtection="1">
      <alignment vertical="center"/>
      <protection locked="0"/>
    </xf>
    <xf numFmtId="0" fontId="3" fillId="6" borderId="59" xfId="0" applyFont="1" applyFill="1" applyBorder="1" applyAlignment="1" applyProtection="1">
      <alignment vertical="center"/>
      <protection locked="0"/>
    </xf>
    <xf numFmtId="0" fontId="3" fillId="6" borderId="60" xfId="0" applyFont="1" applyFill="1" applyBorder="1" applyAlignment="1" applyProtection="1">
      <alignment vertical="center"/>
      <protection locked="0"/>
    </xf>
    <xf numFmtId="0" fontId="1" fillId="2" borderId="85"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87" xfId="0" applyFont="1" applyFill="1" applyBorder="1" applyAlignment="1">
      <alignment horizontal="center" vertical="center" wrapText="1"/>
    </xf>
    <xf numFmtId="0" fontId="1" fillId="2" borderId="74" xfId="0" applyFont="1" applyFill="1" applyBorder="1" applyAlignment="1">
      <alignment horizontal="center" vertical="center" wrapText="1"/>
    </xf>
    <xf numFmtId="0" fontId="7" fillId="3" borderId="90" xfId="0" applyFont="1" applyFill="1" applyBorder="1" applyAlignment="1">
      <alignment horizontal="justify" vertical="center" wrapText="1"/>
    </xf>
    <xf numFmtId="0" fontId="7" fillId="3" borderId="91" xfId="0" applyFont="1" applyFill="1" applyBorder="1" applyAlignment="1">
      <alignment horizontal="justify" vertical="center" wrapText="1"/>
    </xf>
    <xf numFmtId="0" fontId="7" fillId="3" borderId="75" xfId="0" applyFont="1" applyFill="1" applyBorder="1" applyAlignment="1">
      <alignment horizontal="justify" vertical="center" wrapText="1"/>
    </xf>
    <xf numFmtId="0" fontId="7" fillId="3" borderId="76" xfId="0" applyFont="1" applyFill="1" applyBorder="1" applyAlignment="1">
      <alignment horizontal="justify" vertical="center" wrapText="1"/>
    </xf>
    <xf numFmtId="0" fontId="7" fillId="3" borderId="77" xfId="0" applyFont="1" applyFill="1" applyBorder="1" applyAlignment="1">
      <alignment horizontal="justify" vertical="center" wrapText="1"/>
    </xf>
    <xf numFmtId="0" fontId="7" fillId="3" borderId="78" xfId="0" applyFont="1" applyFill="1" applyBorder="1" applyAlignment="1">
      <alignment horizontal="justify" vertical="center" wrapText="1"/>
    </xf>
    <xf numFmtId="0" fontId="2" fillId="2" borderId="79" xfId="0" applyFont="1" applyFill="1" applyBorder="1" applyAlignment="1">
      <alignment horizontal="center" vertical="center" wrapText="1"/>
    </xf>
    <xf numFmtId="0" fontId="2" fillId="2" borderId="88" xfId="0" applyFont="1" applyFill="1" applyBorder="1" applyAlignment="1">
      <alignment horizontal="center" vertical="center" wrapText="1"/>
    </xf>
    <xf numFmtId="0" fontId="1" fillId="2" borderId="83" xfId="0" applyFont="1" applyFill="1" applyBorder="1" applyAlignment="1">
      <alignment horizontal="center" vertical="center"/>
    </xf>
    <xf numFmtId="0" fontId="1" fillId="2" borderId="82" xfId="0" applyFont="1" applyFill="1" applyBorder="1" applyAlignment="1">
      <alignment horizontal="center" vertical="center"/>
    </xf>
    <xf numFmtId="0" fontId="1" fillId="2" borderId="89" xfId="0" applyFont="1" applyFill="1" applyBorder="1" applyAlignment="1">
      <alignment horizontal="center" vertical="center"/>
    </xf>
    <xf numFmtId="0" fontId="1" fillId="2" borderId="10" xfId="0" applyFont="1" applyFill="1" applyBorder="1" applyAlignment="1">
      <alignment horizontal="center" vertical="center"/>
    </xf>
    <xf numFmtId="0" fontId="2" fillId="4" borderId="2"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2" fillId="4" borderId="4" xfId="0" applyFont="1" applyFill="1" applyBorder="1" applyAlignment="1">
      <alignment horizontal="center" vertical="center" wrapText="1"/>
    </xf>
    <xf numFmtId="164" fontId="4" fillId="4" borderId="63" xfId="0" applyNumberFormat="1" applyFont="1" applyFill="1" applyBorder="1" applyAlignment="1">
      <alignment horizontal="center" vertical="center" wrapText="1"/>
    </xf>
    <xf numFmtId="164" fontId="4" fillId="4" borderId="1" xfId="0" applyNumberFormat="1" applyFont="1" applyFill="1" applyBorder="1" applyAlignment="1">
      <alignment horizontal="center" vertical="center" wrapText="1"/>
    </xf>
    <xf numFmtId="164" fontId="4" fillId="4" borderId="65" xfId="0" applyNumberFormat="1" applyFont="1" applyFill="1" applyBorder="1" applyAlignment="1">
      <alignment horizontal="center" vertical="center" wrapText="1"/>
    </xf>
    <xf numFmtId="0" fontId="1" fillId="5" borderId="63" xfId="0" applyFont="1" applyFill="1" applyBorder="1" applyAlignment="1">
      <alignment horizontal="center" vertical="center"/>
    </xf>
    <xf numFmtId="0" fontId="1" fillId="5" borderId="3" xfId="0" applyFont="1" applyFill="1" applyBorder="1" applyAlignment="1">
      <alignment horizontal="center" vertical="center"/>
    </xf>
    <xf numFmtId="0" fontId="1" fillId="5" borderId="85" xfId="0" applyFont="1" applyFill="1" applyBorder="1" applyAlignment="1">
      <alignment horizontal="center" vertical="center" wrapText="1"/>
    </xf>
    <xf numFmtId="0" fontId="1" fillId="5" borderId="11" xfId="0" applyFont="1" applyFill="1" applyBorder="1" applyAlignment="1">
      <alignment horizontal="center" vertical="center" wrapText="1"/>
    </xf>
    <xf numFmtId="0" fontId="1" fillId="5" borderId="79" xfId="0" applyFont="1" applyFill="1" applyBorder="1" applyAlignment="1">
      <alignment horizontal="center" vertical="center" wrapText="1"/>
    </xf>
    <xf numFmtId="0" fontId="1" fillId="5" borderId="64" xfId="0" applyFont="1" applyFill="1" applyBorder="1" applyAlignment="1">
      <alignment horizontal="center" vertical="center" wrapText="1"/>
    </xf>
    <xf numFmtId="0" fontId="1" fillId="5" borderId="73" xfId="0" applyFont="1" applyFill="1" applyBorder="1" applyAlignment="1">
      <alignment horizontal="center" vertical="center" wrapText="1"/>
    </xf>
    <xf numFmtId="0" fontId="1" fillId="5" borderId="0" xfId="0" applyFont="1" applyFill="1" applyAlignment="1">
      <alignment horizontal="center" vertical="center" wrapText="1"/>
    </xf>
    <xf numFmtId="0" fontId="2" fillId="5" borderId="87" xfId="0" applyFont="1" applyFill="1" applyBorder="1" applyAlignment="1">
      <alignment horizontal="center" vertical="center" wrapText="1"/>
    </xf>
    <xf numFmtId="0" fontId="2" fillId="5" borderId="74" xfId="0" applyFont="1" applyFill="1" applyBorder="1" applyAlignment="1">
      <alignment horizontal="center" vertical="center" wrapText="1"/>
    </xf>
    <xf numFmtId="0" fontId="1" fillId="5" borderId="2" xfId="0" applyFont="1" applyFill="1" applyBorder="1" applyAlignment="1">
      <alignment horizontal="center" vertical="center"/>
    </xf>
    <xf numFmtId="0" fontId="2" fillId="4" borderId="12" xfId="0" applyFont="1" applyFill="1" applyBorder="1" applyAlignment="1">
      <alignment horizontal="center" vertical="center" wrapText="1"/>
    </xf>
    <xf numFmtId="164" fontId="4" fillId="4" borderId="13" xfId="0" applyNumberFormat="1" applyFont="1" applyFill="1" applyBorder="1" applyAlignment="1">
      <alignment horizontal="center" vertical="center" wrapText="1"/>
    </xf>
    <xf numFmtId="0" fontId="2" fillId="4" borderId="11" xfId="0" applyFont="1" applyFill="1" applyBorder="1" applyAlignment="1">
      <alignment horizontal="center" vertical="center" wrapText="1"/>
    </xf>
    <xf numFmtId="164" fontId="4" fillId="4" borderId="64" xfId="0" applyNumberFormat="1" applyFont="1" applyFill="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26"/>
  <sheetViews>
    <sheetView showGridLines="0" showRowColHeaders="0" tabSelected="1" zoomScale="160" zoomScaleNormal="160" workbookViewId="0">
      <pane xSplit="3" ySplit="2" topLeftCell="D3" activePane="bottomRight" state="frozen"/>
      <selection pane="topRight" activeCell="D1" sqref="D1"/>
      <selection pane="bottomLeft" activeCell="A3" sqref="A3"/>
      <selection pane="bottomRight" activeCell="B15" sqref="B15"/>
    </sheetView>
  </sheetViews>
  <sheetFormatPr baseColWidth="10" defaultColWidth="11.44140625" defaultRowHeight="12" x14ac:dyDescent="0.3"/>
  <cols>
    <col min="1" max="1" width="6.21875" style="6" customWidth="1"/>
    <col min="2" max="2" width="59.44140625" style="2" customWidth="1"/>
    <col min="3" max="3" width="7.44140625" style="3" customWidth="1"/>
    <col min="4" max="36" width="2.5546875" style="1" customWidth="1"/>
    <col min="37" max="63" width="2.77734375" style="1" customWidth="1"/>
    <col min="64" max="16384" width="11.44140625" style="1"/>
  </cols>
  <sheetData>
    <row r="1" spans="1:63" s="4" customFormat="1" ht="28.5" customHeight="1" x14ac:dyDescent="0.3">
      <c r="A1" s="131" t="s">
        <v>18</v>
      </c>
      <c r="B1" s="141" t="s">
        <v>92</v>
      </c>
      <c r="C1" s="133" t="s">
        <v>12</v>
      </c>
      <c r="D1" s="144" t="s">
        <v>0</v>
      </c>
      <c r="E1" s="144"/>
      <c r="F1" s="144"/>
      <c r="G1" s="144"/>
      <c r="H1" s="146"/>
      <c r="I1" s="143" t="s">
        <v>1</v>
      </c>
      <c r="J1" s="144"/>
      <c r="K1" s="144"/>
      <c r="L1" s="144"/>
      <c r="M1" s="146"/>
      <c r="N1" s="143" t="s">
        <v>2</v>
      </c>
      <c r="O1" s="144"/>
      <c r="P1" s="144"/>
      <c r="Q1" s="144"/>
      <c r="R1" s="146"/>
      <c r="S1" s="143" t="s">
        <v>3</v>
      </c>
      <c r="T1" s="144"/>
      <c r="U1" s="144"/>
      <c r="V1" s="144"/>
      <c r="W1" s="146"/>
      <c r="X1" s="143" t="s">
        <v>4</v>
      </c>
      <c r="Y1" s="144"/>
      <c r="Z1" s="144"/>
      <c r="AA1" s="144"/>
      <c r="AB1" s="146"/>
      <c r="AC1" s="143" t="s">
        <v>5</v>
      </c>
      <c r="AD1" s="144"/>
      <c r="AE1" s="144"/>
      <c r="AF1" s="144"/>
      <c r="AG1" s="146"/>
      <c r="AH1" s="143" t="s">
        <v>6</v>
      </c>
      <c r="AI1" s="144"/>
      <c r="AJ1" s="144"/>
      <c r="AK1" s="144"/>
      <c r="AL1" s="146"/>
      <c r="AM1" s="143" t="s">
        <v>7</v>
      </c>
      <c r="AN1" s="144"/>
      <c r="AO1" s="144"/>
      <c r="AP1" s="144"/>
      <c r="AQ1" s="146"/>
      <c r="AR1" s="143" t="s">
        <v>8</v>
      </c>
      <c r="AS1" s="144"/>
      <c r="AT1" s="144"/>
      <c r="AU1" s="144"/>
      <c r="AV1" s="146"/>
      <c r="AW1" s="143" t="s">
        <v>9</v>
      </c>
      <c r="AX1" s="144"/>
      <c r="AY1" s="144"/>
      <c r="AZ1" s="144"/>
      <c r="BA1" s="146"/>
      <c r="BB1" s="143" t="s">
        <v>10</v>
      </c>
      <c r="BC1" s="144"/>
      <c r="BD1" s="144"/>
      <c r="BE1" s="144"/>
      <c r="BF1" s="146"/>
      <c r="BG1" s="143" t="s">
        <v>11</v>
      </c>
      <c r="BH1" s="144"/>
      <c r="BI1" s="144"/>
      <c r="BJ1" s="144"/>
      <c r="BK1" s="145"/>
    </row>
    <row r="2" spans="1:63" s="4" customFormat="1" ht="10.5" customHeight="1" thickBot="1" x14ac:dyDescent="0.35">
      <c r="A2" s="132"/>
      <c r="B2" s="142"/>
      <c r="C2" s="134"/>
      <c r="D2" s="94">
        <v>1</v>
      </c>
      <c r="E2" s="16">
        <v>2</v>
      </c>
      <c r="F2" s="16">
        <v>3</v>
      </c>
      <c r="G2" s="16">
        <v>4</v>
      </c>
      <c r="H2" s="16">
        <v>5</v>
      </c>
      <c r="I2" s="16">
        <v>1</v>
      </c>
      <c r="J2" s="16">
        <v>2</v>
      </c>
      <c r="K2" s="16">
        <v>3</v>
      </c>
      <c r="L2" s="16">
        <v>4</v>
      </c>
      <c r="M2" s="16">
        <v>5</v>
      </c>
      <c r="N2" s="16">
        <v>1</v>
      </c>
      <c r="O2" s="16">
        <v>2</v>
      </c>
      <c r="P2" s="16">
        <v>3</v>
      </c>
      <c r="Q2" s="16">
        <v>4</v>
      </c>
      <c r="R2" s="16">
        <v>5</v>
      </c>
      <c r="S2" s="16">
        <v>1</v>
      </c>
      <c r="T2" s="16">
        <v>2</v>
      </c>
      <c r="U2" s="16">
        <v>3</v>
      </c>
      <c r="V2" s="16">
        <v>4</v>
      </c>
      <c r="W2" s="16">
        <v>5</v>
      </c>
      <c r="X2" s="16">
        <v>1</v>
      </c>
      <c r="Y2" s="16">
        <v>2</v>
      </c>
      <c r="Z2" s="16">
        <v>3</v>
      </c>
      <c r="AA2" s="16">
        <v>4</v>
      </c>
      <c r="AB2" s="16">
        <v>5</v>
      </c>
      <c r="AC2" s="16">
        <v>1</v>
      </c>
      <c r="AD2" s="16">
        <v>2</v>
      </c>
      <c r="AE2" s="16">
        <v>3</v>
      </c>
      <c r="AF2" s="16">
        <v>4</v>
      </c>
      <c r="AG2" s="16">
        <v>5</v>
      </c>
      <c r="AH2" s="16">
        <v>1</v>
      </c>
      <c r="AI2" s="16">
        <v>2</v>
      </c>
      <c r="AJ2" s="16">
        <v>3</v>
      </c>
      <c r="AK2" s="16">
        <v>4</v>
      </c>
      <c r="AL2" s="16">
        <v>5</v>
      </c>
      <c r="AM2" s="16">
        <v>1</v>
      </c>
      <c r="AN2" s="16">
        <v>2</v>
      </c>
      <c r="AO2" s="16">
        <v>3</v>
      </c>
      <c r="AP2" s="16">
        <v>4</v>
      </c>
      <c r="AQ2" s="16">
        <v>5</v>
      </c>
      <c r="AR2" s="16">
        <v>1</v>
      </c>
      <c r="AS2" s="16">
        <v>2</v>
      </c>
      <c r="AT2" s="16">
        <v>3</v>
      </c>
      <c r="AU2" s="16">
        <v>4</v>
      </c>
      <c r="AV2" s="16">
        <v>5</v>
      </c>
      <c r="AW2" s="16">
        <v>1</v>
      </c>
      <c r="AX2" s="16">
        <v>2</v>
      </c>
      <c r="AY2" s="16">
        <v>3</v>
      </c>
      <c r="AZ2" s="16">
        <v>4</v>
      </c>
      <c r="BA2" s="16">
        <v>5</v>
      </c>
      <c r="BB2" s="16">
        <v>1</v>
      </c>
      <c r="BC2" s="16">
        <v>2</v>
      </c>
      <c r="BD2" s="16">
        <v>3</v>
      </c>
      <c r="BE2" s="16">
        <v>4</v>
      </c>
      <c r="BF2" s="16">
        <v>5</v>
      </c>
      <c r="BG2" s="16">
        <v>1</v>
      </c>
      <c r="BH2" s="16">
        <v>2</v>
      </c>
      <c r="BI2" s="16">
        <v>3</v>
      </c>
      <c r="BJ2" s="16">
        <v>4</v>
      </c>
      <c r="BK2" s="53">
        <v>5</v>
      </c>
    </row>
    <row r="3" spans="1:63" s="4" customFormat="1" ht="12.6" thickBot="1" x14ac:dyDescent="0.35">
      <c r="A3" s="51"/>
      <c r="B3" s="13" t="s">
        <v>19</v>
      </c>
      <c r="C3" s="95" t="str">
        <f>CONCATENATE(ROUND(SUM(C4),0)," días netos")</f>
        <v>0 días netos</v>
      </c>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5"/>
    </row>
    <row r="4" spans="1:63" ht="12.6" thickBot="1" x14ac:dyDescent="0.3">
      <c r="A4" s="62">
        <v>4</v>
      </c>
      <c r="B4" s="97" t="s">
        <v>38</v>
      </c>
      <c r="C4" s="96">
        <v>0</v>
      </c>
      <c r="D4" s="21"/>
      <c r="E4" s="17"/>
      <c r="F4" s="17"/>
      <c r="G4" s="17"/>
      <c r="H4" s="18"/>
      <c r="I4" s="19"/>
      <c r="J4" s="17"/>
      <c r="K4" s="17"/>
      <c r="L4" s="17"/>
      <c r="M4" s="20"/>
      <c r="N4" s="21"/>
      <c r="O4" s="17"/>
      <c r="P4" s="17"/>
      <c r="Q4" s="17"/>
      <c r="R4" s="18"/>
      <c r="S4" s="19"/>
      <c r="T4" s="17"/>
      <c r="U4" s="17"/>
      <c r="V4" s="17"/>
      <c r="W4" s="20"/>
      <c r="X4" s="21"/>
      <c r="Y4" s="17"/>
      <c r="Z4" s="17"/>
      <c r="AA4" s="17"/>
      <c r="AB4" s="18"/>
      <c r="AC4" s="19"/>
      <c r="AD4" s="17"/>
      <c r="AE4" s="17"/>
      <c r="AF4" s="17"/>
      <c r="AG4" s="20"/>
      <c r="AH4" s="21"/>
      <c r="AI4" s="17"/>
      <c r="AJ4" s="17"/>
      <c r="AK4" s="17"/>
      <c r="AL4" s="18"/>
      <c r="AM4" s="19"/>
      <c r="AN4" s="17"/>
      <c r="AO4" s="17"/>
      <c r="AP4" s="17"/>
      <c r="AQ4" s="20"/>
      <c r="AR4" s="21"/>
      <c r="AS4" s="17"/>
      <c r="AT4" s="17"/>
      <c r="AU4" s="17"/>
      <c r="AV4" s="18"/>
      <c r="AW4" s="19"/>
      <c r="AX4" s="17"/>
      <c r="AY4" s="17"/>
      <c r="AZ4" s="17"/>
      <c r="BA4" s="20"/>
      <c r="BB4" s="21"/>
      <c r="BC4" s="17"/>
      <c r="BD4" s="17"/>
      <c r="BE4" s="17"/>
      <c r="BF4" s="18"/>
      <c r="BG4" s="19"/>
      <c r="BH4" s="17"/>
      <c r="BI4" s="17"/>
      <c r="BJ4" s="17"/>
      <c r="BK4" s="22"/>
    </row>
    <row r="5" spans="1:63" s="4" customFormat="1" ht="12.75" customHeight="1" thickBot="1" x14ac:dyDescent="0.35">
      <c r="A5" s="51"/>
      <c r="B5" s="124" t="s">
        <v>43</v>
      </c>
      <c r="C5" s="95" t="str">
        <f>CONCATENATE(ROUND(SUM(C6:C9),0)," días netos")</f>
        <v>10 días netos</v>
      </c>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5"/>
    </row>
    <row r="6" spans="1:63" x14ac:dyDescent="0.25">
      <c r="A6" s="62">
        <v>5.0999999999999996</v>
      </c>
      <c r="B6" s="97" t="s">
        <v>23</v>
      </c>
      <c r="C6" s="96">
        <v>5</v>
      </c>
      <c r="D6" s="125"/>
      <c r="E6" s="17"/>
      <c r="F6" s="17"/>
      <c r="G6" s="17"/>
      <c r="H6" s="18"/>
      <c r="I6" s="19"/>
      <c r="J6" s="17"/>
      <c r="K6" s="17"/>
      <c r="L6" s="17"/>
      <c r="M6" s="20"/>
      <c r="N6" s="21"/>
      <c r="O6" s="17"/>
      <c r="P6" s="17"/>
      <c r="Q6" s="17"/>
      <c r="R6" s="18"/>
      <c r="S6" s="19"/>
      <c r="T6" s="17"/>
      <c r="U6" s="17"/>
      <c r="V6" s="17"/>
      <c r="W6" s="20"/>
      <c r="X6" s="21"/>
      <c r="Y6" s="17"/>
      <c r="Z6" s="17"/>
      <c r="AA6" s="17"/>
      <c r="AB6" s="18"/>
      <c r="AC6" s="19"/>
      <c r="AD6" s="17"/>
      <c r="AE6" s="17"/>
      <c r="AF6" s="17"/>
      <c r="AG6" s="20"/>
      <c r="AH6" s="21"/>
      <c r="AI6" s="17"/>
      <c r="AJ6" s="17"/>
      <c r="AK6" s="17"/>
      <c r="AL6" s="18"/>
      <c r="AM6" s="19"/>
      <c r="AN6" s="17"/>
      <c r="AO6" s="17"/>
      <c r="AP6" s="17"/>
      <c r="AQ6" s="20"/>
      <c r="AR6" s="21"/>
      <c r="AS6" s="17"/>
      <c r="AT6" s="17"/>
      <c r="AU6" s="17"/>
      <c r="AV6" s="18"/>
      <c r="AW6" s="19"/>
      <c r="AX6" s="17"/>
      <c r="AY6" s="17"/>
      <c r="AZ6" s="17"/>
      <c r="BA6" s="20"/>
      <c r="BB6" s="21"/>
      <c r="BC6" s="17"/>
      <c r="BD6" s="17"/>
      <c r="BE6" s="17"/>
      <c r="BF6" s="18"/>
      <c r="BG6" s="19"/>
      <c r="BH6" s="17"/>
      <c r="BI6" s="17"/>
      <c r="BJ6" s="17"/>
      <c r="BK6" s="22"/>
    </row>
    <row r="7" spans="1:63" x14ac:dyDescent="0.25">
      <c r="A7" s="63">
        <v>5.2</v>
      </c>
      <c r="B7" s="100" t="s">
        <v>24</v>
      </c>
      <c r="C7" s="88">
        <v>0</v>
      </c>
      <c r="D7" s="41"/>
      <c r="E7" s="37"/>
      <c r="F7" s="37"/>
      <c r="G7" s="37"/>
      <c r="H7" s="38"/>
      <c r="I7" s="39"/>
      <c r="J7" s="37"/>
      <c r="K7" s="37"/>
      <c r="L7" s="37"/>
      <c r="M7" s="40"/>
      <c r="N7" s="41"/>
      <c r="O7" s="37"/>
      <c r="P7" s="37"/>
      <c r="Q7" s="37"/>
      <c r="R7" s="38"/>
      <c r="S7" s="39"/>
      <c r="T7" s="37"/>
      <c r="U7" s="37"/>
      <c r="V7" s="37"/>
      <c r="W7" s="40"/>
      <c r="X7" s="41"/>
      <c r="Y7" s="37"/>
      <c r="Z7" s="37"/>
      <c r="AA7" s="37"/>
      <c r="AB7" s="38"/>
      <c r="AC7" s="39"/>
      <c r="AD7" s="37"/>
      <c r="AE7" s="37"/>
      <c r="AF7" s="37"/>
      <c r="AG7" s="40"/>
      <c r="AH7" s="41"/>
      <c r="AI7" s="37"/>
      <c r="AJ7" s="37"/>
      <c r="AK7" s="37"/>
      <c r="AL7" s="38"/>
      <c r="AM7" s="39"/>
      <c r="AN7" s="37"/>
      <c r="AO7" s="37"/>
      <c r="AP7" s="37"/>
      <c r="AQ7" s="40"/>
      <c r="AR7" s="41"/>
      <c r="AS7" s="37"/>
      <c r="AT7" s="37"/>
      <c r="AU7" s="37"/>
      <c r="AV7" s="38"/>
      <c r="AW7" s="39"/>
      <c r="AX7" s="37"/>
      <c r="AY7" s="37"/>
      <c r="AZ7" s="37"/>
      <c r="BA7" s="40"/>
      <c r="BB7" s="41"/>
      <c r="BC7" s="37"/>
      <c r="BD7" s="37"/>
      <c r="BE7" s="37"/>
      <c r="BF7" s="38"/>
      <c r="BG7" s="39"/>
      <c r="BH7" s="37"/>
      <c r="BI7" s="37"/>
      <c r="BJ7" s="37"/>
      <c r="BK7" s="42"/>
    </row>
    <row r="8" spans="1:63" x14ac:dyDescent="0.25">
      <c r="A8" s="52">
        <v>5.3</v>
      </c>
      <c r="B8" s="100" t="s">
        <v>25</v>
      </c>
      <c r="C8" s="87">
        <v>2</v>
      </c>
      <c r="D8" s="41"/>
      <c r="E8" s="126"/>
      <c r="F8" s="37"/>
      <c r="G8" s="37"/>
      <c r="H8" s="38"/>
      <c r="I8" s="39"/>
      <c r="J8" s="37"/>
      <c r="K8" s="37"/>
      <c r="L8" s="37"/>
      <c r="M8" s="40"/>
      <c r="N8" s="41"/>
      <c r="O8" s="37"/>
      <c r="P8" s="37"/>
      <c r="Q8" s="37"/>
      <c r="R8" s="38"/>
      <c r="S8" s="39"/>
      <c r="T8" s="37"/>
      <c r="U8" s="37"/>
      <c r="V8" s="37"/>
      <c r="W8" s="40"/>
      <c r="X8" s="41"/>
      <c r="Y8" s="37"/>
      <c r="Z8" s="37"/>
      <c r="AA8" s="37"/>
      <c r="AB8" s="38"/>
      <c r="AC8" s="39"/>
      <c r="AD8" s="37"/>
      <c r="AE8" s="37"/>
      <c r="AF8" s="37"/>
      <c r="AG8" s="40"/>
      <c r="AH8" s="41"/>
      <c r="AI8" s="37"/>
      <c r="AJ8" s="37"/>
      <c r="AK8" s="37"/>
      <c r="AL8" s="38"/>
      <c r="AM8" s="39"/>
      <c r="AN8" s="37"/>
      <c r="AO8" s="37"/>
      <c r="AP8" s="37"/>
      <c r="AQ8" s="40"/>
      <c r="AR8" s="41"/>
      <c r="AS8" s="37"/>
      <c r="AT8" s="37"/>
      <c r="AU8" s="37"/>
      <c r="AV8" s="38"/>
      <c r="AW8" s="39"/>
      <c r="AX8" s="37"/>
      <c r="AY8" s="37"/>
      <c r="AZ8" s="37"/>
      <c r="BA8" s="40"/>
      <c r="BB8" s="41"/>
      <c r="BC8" s="37"/>
      <c r="BD8" s="37"/>
      <c r="BE8" s="37"/>
      <c r="BF8" s="38"/>
      <c r="BG8" s="39"/>
      <c r="BH8" s="37"/>
      <c r="BI8" s="37"/>
      <c r="BJ8" s="37"/>
      <c r="BK8" s="42"/>
    </row>
    <row r="9" spans="1:63" ht="12.6" thickBot="1" x14ac:dyDescent="0.3">
      <c r="A9" s="52">
        <v>5.4</v>
      </c>
      <c r="B9" s="97" t="s">
        <v>26</v>
      </c>
      <c r="C9" s="87">
        <v>3</v>
      </c>
      <c r="D9" s="41"/>
      <c r="E9" s="126"/>
      <c r="F9" s="37"/>
      <c r="G9" s="37"/>
      <c r="H9" s="40"/>
      <c r="I9" s="77"/>
      <c r="J9" s="37"/>
      <c r="K9" s="37"/>
      <c r="L9" s="37"/>
      <c r="M9" s="40"/>
      <c r="N9" s="41"/>
      <c r="O9" s="37"/>
      <c r="P9" s="37"/>
      <c r="Q9" s="37"/>
      <c r="R9" s="38"/>
      <c r="S9" s="39"/>
      <c r="T9" s="37"/>
      <c r="U9" s="37"/>
      <c r="V9" s="37"/>
      <c r="W9" s="40"/>
      <c r="X9" s="41"/>
      <c r="Y9" s="37"/>
      <c r="Z9" s="37"/>
      <c r="AA9" s="37"/>
      <c r="AB9" s="38"/>
      <c r="AC9" s="39"/>
      <c r="AD9" s="37"/>
      <c r="AE9" s="37"/>
      <c r="AF9" s="37"/>
      <c r="AG9" s="40"/>
      <c r="AH9" s="41"/>
      <c r="AI9" s="37"/>
      <c r="AJ9" s="37"/>
      <c r="AK9" s="37"/>
      <c r="AL9" s="38"/>
      <c r="AM9" s="39"/>
      <c r="AN9" s="37"/>
      <c r="AO9" s="37"/>
      <c r="AP9" s="37"/>
      <c r="AQ9" s="40"/>
      <c r="AR9" s="41"/>
      <c r="AS9" s="37"/>
      <c r="AT9" s="37"/>
      <c r="AU9" s="37"/>
      <c r="AV9" s="38"/>
      <c r="AW9" s="39"/>
      <c r="AX9" s="37"/>
      <c r="AY9" s="37"/>
      <c r="AZ9" s="37"/>
      <c r="BA9" s="40"/>
      <c r="BB9" s="41"/>
      <c r="BC9" s="37"/>
      <c r="BD9" s="37"/>
      <c r="BE9" s="37"/>
      <c r="BF9" s="38"/>
      <c r="BG9" s="39"/>
      <c r="BH9" s="37"/>
      <c r="BI9" s="37"/>
      <c r="BJ9" s="37"/>
      <c r="BK9" s="42"/>
    </row>
    <row r="10" spans="1:63" s="4" customFormat="1" ht="12.75" customHeight="1" thickBot="1" x14ac:dyDescent="0.35">
      <c r="A10" s="51"/>
      <c r="B10" s="124" t="s">
        <v>22</v>
      </c>
      <c r="C10" s="95" t="str">
        <f>CONCATENATE(ROUND(SUM(C11:C14),0)," días netos")</f>
        <v>19 días netos</v>
      </c>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5"/>
    </row>
    <row r="11" spans="1:63" x14ac:dyDescent="0.25">
      <c r="A11" s="52">
        <v>6.1</v>
      </c>
      <c r="B11" s="97" t="s">
        <v>21</v>
      </c>
      <c r="C11" s="87">
        <v>8</v>
      </c>
      <c r="D11" s="41"/>
      <c r="E11" s="37"/>
      <c r="F11" s="126"/>
      <c r="G11" s="126"/>
      <c r="H11" s="38"/>
      <c r="I11" s="39"/>
      <c r="J11" s="37"/>
      <c r="K11" s="37"/>
      <c r="L11" s="37"/>
      <c r="M11" s="40"/>
      <c r="N11" s="41"/>
      <c r="O11" s="37"/>
      <c r="P11" s="37"/>
      <c r="Q11" s="37"/>
      <c r="R11" s="38"/>
      <c r="S11" s="39"/>
      <c r="T11" s="37"/>
      <c r="U11" s="37"/>
      <c r="V11" s="37"/>
      <c r="W11" s="40"/>
      <c r="X11" s="41"/>
      <c r="Y11" s="37"/>
      <c r="Z11" s="37"/>
      <c r="AA11" s="37"/>
      <c r="AB11" s="38"/>
      <c r="AC11" s="39"/>
      <c r="AD11" s="37"/>
      <c r="AE11" s="37"/>
      <c r="AF11" s="37"/>
      <c r="AG11" s="40"/>
      <c r="AH11" s="41"/>
      <c r="AI11" s="37"/>
      <c r="AJ11" s="37"/>
      <c r="AK11" s="37"/>
      <c r="AL11" s="38"/>
      <c r="AM11" s="39"/>
      <c r="AN11" s="37"/>
      <c r="AO11" s="37"/>
      <c r="AP11" s="37"/>
      <c r="AQ11" s="40"/>
      <c r="AR11" s="41"/>
      <c r="AS11" s="37"/>
      <c r="AT11" s="37"/>
      <c r="AU11" s="37"/>
      <c r="AV11" s="38"/>
      <c r="AW11" s="39"/>
      <c r="AX11" s="37"/>
      <c r="AY11" s="37"/>
      <c r="AZ11" s="37"/>
      <c r="BA11" s="40"/>
      <c r="BB11" s="41"/>
      <c r="BC11" s="37"/>
      <c r="BD11" s="37"/>
      <c r="BE11" s="37"/>
      <c r="BF11" s="38"/>
      <c r="BG11" s="39"/>
      <c r="BH11" s="37"/>
      <c r="BI11" s="37"/>
      <c r="BJ11" s="37"/>
      <c r="BK11" s="42"/>
    </row>
    <row r="12" spans="1:63" x14ac:dyDescent="0.25">
      <c r="A12" s="52">
        <v>6.2</v>
      </c>
      <c r="B12" s="100" t="s">
        <v>20</v>
      </c>
      <c r="C12" s="87">
        <v>6</v>
      </c>
      <c r="D12" s="41"/>
      <c r="E12" s="37"/>
      <c r="F12" s="37"/>
      <c r="G12" s="126"/>
      <c r="H12" s="127"/>
      <c r="I12" s="128"/>
      <c r="J12" s="37"/>
      <c r="K12" s="37"/>
      <c r="L12" s="37"/>
      <c r="M12" s="40"/>
      <c r="N12" s="41"/>
      <c r="O12" s="37"/>
      <c r="P12" s="37"/>
      <c r="Q12" s="37"/>
      <c r="R12" s="38"/>
      <c r="S12" s="39"/>
      <c r="T12" s="37"/>
      <c r="U12" s="37"/>
      <c r="V12" s="37"/>
      <c r="W12" s="40"/>
      <c r="X12" s="41"/>
      <c r="Y12" s="37"/>
      <c r="Z12" s="37"/>
      <c r="AA12" s="37"/>
      <c r="AB12" s="38"/>
      <c r="AC12" s="39"/>
      <c r="AD12" s="37"/>
      <c r="AE12" s="37"/>
      <c r="AF12" s="37"/>
      <c r="AG12" s="40"/>
      <c r="AH12" s="41"/>
      <c r="AI12" s="37"/>
      <c r="AJ12" s="37"/>
      <c r="AK12" s="37"/>
      <c r="AL12" s="38"/>
      <c r="AM12" s="39"/>
      <c r="AN12" s="37"/>
      <c r="AO12" s="37"/>
      <c r="AP12" s="37"/>
      <c r="AQ12" s="40"/>
      <c r="AR12" s="41"/>
      <c r="AS12" s="37"/>
      <c r="AT12" s="37"/>
      <c r="AU12" s="37"/>
      <c r="AV12" s="38"/>
      <c r="AW12" s="39"/>
      <c r="AX12" s="37"/>
      <c r="AY12" s="37"/>
      <c r="AZ12" s="37"/>
      <c r="BA12" s="40"/>
      <c r="BB12" s="41"/>
      <c r="BC12" s="37"/>
      <c r="BD12" s="37"/>
      <c r="BE12" s="37"/>
      <c r="BF12" s="38"/>
      <c r="BG12" s="39"/>
      <c r="BH12" s="37"/>
      <c r="BI12" s="37"/>
      <c r="BJ12" s="37"/>
      <c r="BK12" s="42"/>
    </row>
    <row r="13" spans="1:63" x14ac:dyDescent="0.25">
      <c r="A13" s="52">
        <v>6.3</v>
      </c>
      <c r="B13" s="100" t="s">
        <v>27</v>
      </c>
      <c r="C13" s="87">
        <v>0</v>
      </c>
      <c r="D13" s="41"/>
      <c r="E13" s="37"/>
      <c r="F13" s="37"/>
      <c r="G13" s="37"/>
      <c r="H13" s="38"/>
      <c r="I13" s="39"/>
      <c r="J13" s="37"/>
      <c r="K13" s="37"/>
      <c r="L13" s="37"/>
      <c r="M13" s="40"/>
      <c r="N13" s="41"/>
      <c r="O13" s="37"/>
      <c r="P13" s="37"/>
      <c r="Q13" s="37"/>
      <c r="R13" s="38"/>
      <c r="S13" s="39"/>
      <c r="T13" s="37"/>
      <c r="U13" s="37"/>
      <c r="V13" s="37"/>
      <c r="W13" s="40"/>
      <c r="X13" s="41"/>
      <c r="Y13" s="37"/>
      <c r="Z13" s="37"/>
      <c r="AA13" s="37"/>
      <c r="AB13" s="38"/>
      <c r="AC13" s="39"/>
      <c r="AD13" s="37"/>
      <c r="AE13" s="37"/>
      <c r="AF13" s="37"/>
      <c r="AG13" s="40"/>
      <c r="AH13" s="41"/>
      <c r="AI13" s="37"/>
      <c r="AJ13" s="37"/>
      <c r="AK13" s="37"/>
      <c r="AL13" s="38"/>
      <c r="AM13" s="39"/>
      <c r="AN13" s="37"/>
      <c r="AO13" s="37"/>
      <c r="AP13" s="37"/>
      <c r="AQ13" s="40"/>
      <c r="AR13" s="41"/>
      <c r="AS13" s="37"/>
      <c r="AT13" s="37"/>
      <c r="AU13" s="37"/>
      <c r="AV13" s="38"/>
      <c r="AW13" s="39"/>
      <c r="AX13" s="37"/>
      <c r="AY13" s="37"/>
      <c r="AZ13" s="37"/>
      <c r="BA13" s="40"/>
      <c r="BB13" s="41"/>
      <c r="BC13" s="37"/>
      <c r="BD13" s="37"/>
      <c r="BE13" s="37"/>
      <c r="BF13" s="38"/>
      <c r="BG13" s="39"/>
      <c r="BH13" s="37"/>
      <c r="BI13" s="37"/>
      <c r="BJ13" s="37"/>
      <c r="BK13" s="42"/>
    </row>
    <row r="14" spans="1:63" ht="12.6" thickBot="1" x14ac:dyDescent="0.3">
      <c r="A14" s="52">
        <v>6.4</v>
      </c>
      <c r="B14" s="97" t="s">
        <v>28</v>
      </c>
      <c r="C14" s="87">
        <v>5</v>
      </c>
      <c r="D14" s="41"/>
      <c r="E14" s="37"/>
      <c r="F14" s="37"/>
      <c r="G14" s="37"/>
      <c r="H14" s="38"/>
      <c r="I14" s="39"/>
      <c r="J14" s="126"/>
      <c r="K14" s="37"/>
      <c r="L14" s="37"/>
      <c r="M14" s="40"/>
      <c r="N14" s="41"/>
      <c r="O14" s="37"/>
      <c r="P14" s="37"/>
      <c r="Q14" s="37"/>
      <c r="R14" s="38"/>
      <c r="S14" s="39"/>
      <c r="T14" s="37"/>
      <c r="U14" s="37"/>
      <c r="V14" s="37"/>
      <c r="W14" s="40"/>
      <c r="X14" s="41"/>
      <c r="Y14" s="37"/>
      <c r="Z14" s="37"/>
      <c r="AA14" s="37"/>
      <c r="AB14" s="38"/>
      <c r="AC14" s="39"/>
      <c r="AD14" s="37"/>
      <c r="AE14" s="37"/>
      <c r="AF14" s="37"/>
      <c r="AG14" s="40"/>
      <c r="AH14" s="41"/>
      <c r="AI14" s="37"/>
      <c r="AJ14" s="37"/>
      <c r="AK14" s="37"/>
      <c r="AL14" s="38"/>
      <c r="AM14" s="39"/>
      <c r="AN14" s="37"/>
      <c r="AO14" s="37"/>
      <c r="AP14" s="37"/>
      <c r="AQ14" s="40"/>
      <c r="AR14" s="41"/>
      <c r="AS14" s="37"/>
      <c r="AT14" s="37"/>
      <c r="AU14" s="37"/>
      <c r="AV14" s="38"/>
      <c r="AW14" s="39"/>
      <c r="AX14" s="37"/>
      <c r="AY14" s="37"/>
      <c r="AZ14" s="37"/>
      <c r="BA14" s="40"/>
      <c r="BB14" s="41"/>
      <c r="BC14" s="37"/>
      <c r="BD14" s="37"/>
      <c r="BE14" s="37"/>
      <c r="BF14" s="38"/>
      <c r="BG14" s="39"/>
      <c r="BH14" s="37"/>
      <c r="BI14" s="37"/>
      <c r="BJ14" s="37"/>
      <c r="BK14" s="42"/>
    </row>
    <row r="15" spans="1:63" s="4" customFormat="1" ht="12.75" customHeight="1" thickBot="1" x14ac:dyDescent="0.35">
      <c r="A15" s="51"/>
      <c r="B15" s="124" t="s">
        <v>29</v>
      </c>
      <c r="C15" s="95" t="str">
        <f>CONCATENATE(ROUND(SUM(C16:C18),0)," días netos")</f>
        <v>55 días netos</v>
      </c>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5"/>
    </row>
    <row r="16" spans="1:63" x14ac:dyDescent="0.25">
      <c r="A16" s="52">
        <v>7.1</v>
      </c>
      <c r="B16" s="97" t="s">
        <v>30</v>
      </c>
      <c r="C16" s="87">
        <v>20</v>
      </c>
      <c r="D16" s="41"/>
      <c r="E16" s="37"/>
      <c r="F16" s="37"/>
      <c r="G16" s="37"/>
      <c r="H16" s="38"/>
      <c r="I16" s="39"/>
      <c r="J16" s="37"/>
      <c r="K16" s="126"/>
      <c r="L16" s="126"/>
      <c r="M16" s="129"/>
      <c r="N16" s="130"/>
      <c r="O16" s="126"/>
      <c r="P16" s="37"/>
      <c r="Q16" s="37"/>
      <c r="R16" s="38"/>
      <c r="S16" s="39"/>
      <c r="T16" s="37"/>
      <c r="U16" s="37"/>
      <c r="V16" s="37"/>
      <c r="W16" s="40"/>
      <c r="X16" s="41"/>
      <c r="Y16" s="37"/>
      <c r="Z16" s="37"/>
      <c r="AA16" s="37"/>
      <c r="AB16" s="38"/>
      <c r="AC16" s="39"/>
      <c r="AD16" s="37"/>
      <c r="AE16" s="37"/>
      <c r="AF16" s="37"/>
      <c r="AG16" s="40"/>
      <c r="AH16" s="41"/>
      <c r="AI16" s="37"/>
      <c r="AJ16" s="37"/>
      <c r="AK16" s="37"/>
      <c r="AL16" s="38"/>
      <c r="AM16" s="39"/>
      <c r="AN16" s="37"/>
      <c r="AO16" s="37"/>
      <c r="AP16" s="37"/>
      <c r="AQ16" s="40"/>
      <c r="AR16" s="41"/>
      <c r="AS16" s="37"/>
      <c r="AT16" s="37"/>
      <c r="AU16" s="37"/>
      <c r="AV16" s="38"/>
      <c r="AW16" s="39"/>
      <c r="AX16" s="37"/>
      <c r="AY16" s="37"/>
      <c r="AZ16" s="37"/>
      <c r="BA16" s="40"/>
      <c r="BB16" s="41"/>
      <c r="BC16" s="37"/>
      <c r="BD16" s="37"/>
      <c r="BE16" s="37"/>
      <c r="BF16" s="38"/>
      <c r="BG16" s="39"/>
      <c r="BH16" s="37"/>
      <c r="BI16" s="37"/>
      <c r="BJ16" s="37"/>
      <c r="BK16" s="42"/>
    </row>
    <row r="17" spans="1:63" x14ac:dyDescent="0.25">
      <c r="A17" s="52">
        <v>7.2</v>
      </c>
      <c r="B17" s="100" t="s">
        <v>31</v>
      </c>
      <c r="C17" s="87">
        <v>20</v>
      </c>
      <c r="D17" s="41"/>
      <c r="E17" s="37"/>
      <c r="F17" s="37"/>
      <c r="G17" s="37"/>
      <c r="H17" s="38"/>
      <c r="I17" s="39"/>
      <c r="J17" s="37"/>
      <c r="K17" s="37"/>
      <c r="L17" s="37"/>
      <c r="M17" s="40"/>
      <c r="N17" s="41"/>
      <c r="O17" s="37"/>
      <c r="P17" s="126"/>
      <c r="Q17" s="126"/>
      <c r="R17" s="127"/>
      <c r="S17" s="128"/>
      <c r="T17" s="126"/>
      <c r="U17" s="37"/>
      <c r="V17" s="37"/>
      <c r="W17" s="40"/>
      <c r="X17" s="41"/>
      <c r="Y17" s="37"/>
      <c r="Z17" s="37"/>
      <c r="AA17" s="37"/>
      <c r="AB17" s="38"/>
      <c r="AC17" s="39"/>
      <c r="AD17" s="37"/>
      <c r="AE17" s="37"/>
      <c r="AF17" s="37"/>
      <c r="AG17" s="40"/>
      <c r="AH17" s="41"/>
      <c r="AI17" s="37"/>
      <c r="AJ17" s="37"/>
      <c r="AK17" s="37"/>
      <c r="AL17" s="38"/>
      <c r="AM17" s="39"/>
      <c r="AN17" s="37"/>
      <c r="AO17" s="37"/>
      <c r="AP17" s="37"/>
      <c r="AQ17" s="40"/>
      <c r="AR17" s="41"/>
      <c r="AS17" s="37"/>
      <c r="AT17" s="37"/>
      <c r="AU17" s="37"/>
      <c r="AV17" s="38"/>
      <c r="AW17" s="39"/>
      <c r="AX17" s="37"/>
      <c r="AY17" s="37"/>
      <c r="AZ17" s="37"/>
      <c r="BA17" s="40"/>
      <c r="BB17" s="41"/>
      <c r="BC17" s="37"/>
      <c r="BD17" s="37"/>
      <c r="BE17" s="37"/>
      <c r="BF17" s="38"/>
      <c r="BG17" s="39"/>
      <c r="BH17" s="37"/>
      <c r="BI17" s="37"/>
      <c r="BJ17" s="37"/>
      <c r="BK17" s="42"/>
    </row>
    <row r="18" spans="1:63" ht="12.6" thickBot="1" x14ac:dyDescent="0.3">
      <c r="A18" s="52">
        <v>7.3</v>
      </c>
      <c r="B18" s="97" t="s">
        <v>32</v>
      </c>
      <c r="C18" s="87">
        <v>15</v>
      </c>
      <c r="D18" s="41"/>
      <c r="E18" s="37"/>
      <c r="F18" s="37"/>
      <c r="G18" s="37"/>
      <c r="H18" s="38"/>
      <c r="I18" s="39"/>
      <c r="J18" s="37"/>
      <c r="K18" s="37"/>
      <c r="L18" s="37"/>
      <c r="M18" s="40"/>
      <c r="N18" s="41"/>
      <c r="O18" s="37"/>
      <c r="P18" s="37"/>
      <c r="Q18" s="37"/>
      <c r="R18" s="38"/>
      <c r="S18" s="39"/>
      <c r="T18" s="37"/>
      <c r="U18" s="126"/>
      <c r="V18" s="126"/>
      <c r="W18" s="129"/>
      <c r="X18" s="130"/>
      <c r="Y18" s="37"/>
      <c r="Z18" s="37"/>
      <c r="AA18" s="37"/>
      <c r="AB18" s="38"/>
      <c r="AC18" s="39"/>
      <c r="AD18" s="37"/>
      <c r="AE18" s="37"/>
      <c r="AF18" s="37"/>
      <c r="AG18" s="40"/>
      <c r="AH18" s="41"/>
      <c r="AI18" s="37"/>
      <c r="AJ18" s="37"/>
      <c r="AK18" s="37"/>
      <c r="AL18" s="38"/>
      <c r="AM18" s="39"/>
      <c r="AN18" s="37"/>
      <c r="AO18" s="37"/>
      <c r="AP18" s="37"/>
      <c r="AQ18" s="40"/>
      <c r="AR18" s="41"/>
      <c r="AS18" s="37"/>
      <c r="AT18" s="37"/>
      <c r="AU18" s="37"/>
      <c r="AV18" s="38"/>
      <c r="AW18" s="39"/>
      <c r="AX18" s="37"/>
      <c r="AY18" s="37"/>
      <c r="AZ18" s="37"/>
      <c r="BA18" s="40"/>
      <c r="BB18" s="41"/>
      <c r="BC18" s="37"/>
      <c r="BD18" s="37"/>
      <c r="BE18" s="37"/>
      <c r="BF18" s="38"/>
      <c r="BG18" s="39"/>
      <c r="BH18" s="37"/>
      <c r="BI18" s="37"/>
      <c r="BJ18" s="37"/>
      <c r="BK18" s="42"/>
    </row>
    <row r="19" spans="1:63" s="4" customFormat="1" ht="12.75" customHeight="1" thickBot="1" x14ac:dyDescent="0.35">
      <c r="A19" s="51"/>
      <c r="B19" s="124" t="s">
        <v>33</v>
      </c>
      <c r="C19" s="95" t="str">
        <f>CONCATENATE(ROUND(SUM(C20:C23),0)," días netos")</f>
        <v>16 días netos</v>
      </c>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5"/>
    </row>
    <row r="20" spans="1:63" x14ac:dyDescent="0.25">
      <c r="A20" s="52">
        <v>8.1</v>
      </c>
      <c r="B20" s="97" t="s">
        <v>34</v>
      </c>
      <c r="C20" s="87">
        <v>0</v>
      </c>
      <c r="D20" s="41"/>
      <c r="E20" s="37"/>
      <c r="F20" s="37"/>
      <c r="G20" s="37"/>
      <c r="H20" s="38"/>
      <c r="I20" s="39"/>
      <c r="J20" s="37"/>
      <c r="K20" s="37"/>
      <c r="L20" s="37"/>
      <c r="M20" s="40"/>
      <c r="N20" s="41"/>
      <c r="O20" s="37"/>
      <c r="P20" s="37"/>
      <c r="Q20" s="37"/>
      <c r="R20" s="38"/>
      <c r="S20" s="39"/>
      <c r="T20" s="37"/>
      <c r="U20" s="37"/>
      <c r="V20" s="37"/>
      <c r="W20" s="40"/>
      <c r="X20" s="41"/>
      <c r="Y20" s="37"/>
      <c r="Z20" s="37"/>
      <c r="AA20" s="37"/>
      <c r="AB20" s="38"/>
      <c r="AC20" s="39"/>
      <c r="AD20" s="37"/>
      <c r="AE20" s="37"/>
      <c r="AF20" s="37"/>
      <c r="AG20" s="40"/>
      <c r="AH20" s="41"/>
      <c r="AI20" s="37"/>
      <c r="AJ20" s="37"/>
      <c r="AK20" s="37"/>
      <c r="AL20" s="38"/>
      <c r="AM20" s="39"/>
      <c r="AN20" s="37"/>
      <c r="AO20" s="37"/>
      <c r="AP20" s="37"/>
      <c r="AQ20" s="40"/>
      <c r="AR20" s="41"/>
      <c r="AS20" s="37"/>
      <c r="AT20" s="37"/>
      <c r="AU20" s="37"/>
      <c r="AV20" s="38"/>
      <c r="AW20" s="39"/>
      <c r="AX20" s="37"/>
      <c r="AY20" s="37"/>
      <c r="AZ20" s="37"/>
      <c r="BA20" s="40"/>
      <c r="BB20" s="41"/>
      <c r="BC20" s="37"/>
      <c r="BD20" s="37"/>
      <c r="BE20" s="37"/>
      <c r="BF20" s="38"/>
      <c r="BG20" s="39"/>
      <c r="BH20" s="37"/>
      <c r="BI20" s="37"/>
      <c r="BJ20" s="37"/>
      <c r="BK20" s="42"/>
    </row>
    <row r="21" spans="1:63" x14ac:dyDescent="0.25">
      <c r="A21" s="52">
        <v>8.1999999999999993</v>
      </c>
      <c r="B21" s="100" t="s">
        <v>35</v>
      </c>
      <c r="C21" s="101">
        <v>5</v>
      </c>
      <c r="D21" s="41"/>
      <c r="E21" s="37"/>
      <c r="F21" s="37"/>
      <c r="G21" s="37"/>
      <c r="H21" s="38"/>
      <c r="I21" s="39"/>
      <c r="J21" s="37"/>
      <c r="K21" s="37"/>
      <c r="L21" s="37"/>
      <c r="M21" s="40"/>
      <c r="N21" s="41"/>
      <c r="O21" s="37"/>
      <c r="P21" s="37"/>
      <c r="Q21" s="37"/>
      <c r="R21" s="38"/>
      <c r="S21" s="39"/>
      <c r="T21" s="37"/>
      <c r="U21" s="37"/>
      <c r="V21" s="37"/>
      <c r="W21" s="40"/>
      <c r="X21" s="41"/>
      <c r="Y21" s="126"/>
      <c r="Z21" s="37"/>
      <c r="AA21" s="37"/>
      <c r="AB21" s="38"/>
      <c r="AC21" s="39"/>
      <c r="AD21" s="37"/>
      <c r="AE21" s="37"/>
      <c r="AF21" s="37"/>
      <c r="AG21" s="40"/>
      <c r="AH21" s="41"/>
      <c r="AI21" s="37"/>
      <c r="AJ21" s="37"/>
      <c r="AK21" s="37"/>
      <c r="AL21" s="38"/>
      <c r="AM21" s="39"/>
      <c r="AN21" s="37"/>
      <c r="AO21" s="37"/>
      <c r="AP21" s="37"/>
      <c r="AQ21" s="40"/>
      <c r="AR21" s="41"/>
      <c r="AS21" s="37"/>
      <c r="AT21" s="37"/>
      <c r="AU21" s="37"/>
      <c r="AV21" s="38"/>
      <c r="AW21" s="39"/>
      <c r="AX21" s="37"/>
      <c r="AY21" s="37"/>
      <c r="AZ21" s="37"/>
      <c r="BA21" s="40"/>
      <c r="BB21" s="41"/>
      <c r="BC21" s="37"/>
      <c r="BD21" s="37"/>
      <c r="BE21" s="37"/>
      <c r="BF21" s="38"/>
      <c r="BG21" s="39"/>
      <c r="BH21" s="37"/>
      <c r="BI21" s="37"/>
      <c r="BJ21" s="37"/>
      <c r="BK21" s="42"/>
    </row>
    <row r="22" spans="1:63" x14ac:dyDescent="0.25">
      <c r="A22" s="52">
        <v>8.3000000000000007</v>
      </c>
      <c r="B22" s="100" t="s">
        <v>36</v>
      </c>
      <c r="C22" s="87">
        <v>5</v>
      </c>
      <c r="D22" s="41"/>
      <c r="E22" s="37"/>
      <c r="F22" s="37"/>
      <c r="G22" s="37"/>
      <c r="H22" s="38"/>
      <c r="I22" s="39"/>
      <c r="J22" s="37"/>
      <c r="K22" s="37"/>
      <c r="L22" s="37"/>
      <c r="M22" s="40"/>
      <c r="N22" s="41"/>
      <c r="O22" s="37"/>
      <c r="P22" s="37"/>
      <c r="Q22" s="37"/>
      <c r="R22" s="38"/>
      <c r="S22" s="39"/>
      <c r="T22" s="37"/>
      <c r="U22" s="37"/>
      <c r="V22" s="37"/>
      <c r="W22" s="40"/>
      <c r="X22" s="41"/>
      <c r="Y22" s="37"/>
      <c r="Z22" s="126"/>
      <c r="AA22" s="37"/>
      <c r="AB22" s="38"/>
      <c r="AC22" s="39"/>
      <c r="AD22" s="37"/>
      <c r="AE22" s="37"/>
      <c r="AF22" s="37"/>
      <c r="AG22" s="40"/>
      <c r="AH22" s="41"/>
      <c r="AI22" s="37"/>
      <c r="AJ22" s="37"/>
      <c r="AK22" s="37"/>
      <c r="AL22" s="38"/>
      <c r="AM22" s="39"/>
      <c r="AN22" s="37"/>
      <c r="AO22" s="37"/>
      <c r="AP22" s="37"/>
      <c r="AQ22" s="40"/>
      <c r="AR22" s="41"/>
      <c r="AS22" s="37"/>
      <c r="AT22" s="37"/>
      <c r="AU22" s="37"/>
      <c r="AV22" s="38"/>
      <c r="AW22" s="39"/>
      <c r="AX22" s="37"/>
      <c r="AY22" s="37"/>
      <c r="AZ22" s="37"/>
      <c r="BA22" s="40"/>
      <c r="BB22" s="41"/>
      <c r="BC22" s="37"/>
      <c r="BD22" s="37"/>
      <c r="BE22" s="37"/>
      <c r="BF22" s="38"/>
      <c r="BG22" s="39"/>
      <c r="BH22" s="37"/>
      <c r="BI22" s="37"/>
      <c r="BJ22" s="37"/>
      <c r="BK22" s="42"/>
    </row>
    <row r="23" spans="1:63" ht="12.6" thickBot="1" x14ac:dyDescent="0.3">
      <c r="A23" s="98">
        <v>8.4</v>
      </c>
      <c r="B23" s="102" t="s">
        <v>37</v>
      </c>
      <c r="C23" s="99">
        <v>6</v>
      </c>
      <c r="D23" s="41"/>
      <c r="E23" s="37"/>
      <c r="F23" s="37"/>
      <c r="G23" s="37"/>
      <c r="H23" s="38"/>
      <c r="I23" s="39"/>
      <c r="J23" s="37"/>
      <c r="K23" s="37"/>
      <c r="L23" s="37"/>
      <c r="M23" s="40"/>
      <c r="N23" s="41"/>
      <c r="O23" s="37"/>
      <c r="P23" s="37"/>
      <c r="Q23" s="37"/>
      <c r="R23" s="38"/>
      <c r="S23" s="39"/>
      <c r="T23" s="37"/>
      <c r="U23" s="37"/>
      <c r="V23" s="37"/>
      <c r="W23" s="40"/>
      <c r="X23" s="41"/>
      <c r="Y23" s="37"/>
      <c r="Z23" s="37"/>
      <c r="AA23" s="126"/>
      <c r="AB23" s="127"/>
      <c r="AC23" s="39"/>
      <c r="AD23" s="37"/>
      <c r="AE23" s="37"/>
      <c r="AF23" s="37"/>
      <c r="AG23" s="40"/>
      <c r="AH23" s="41"/>
      <c r="AI23" s="37"/>
      <c r="AJ23" s="37"/>
      <c r="AK23" s="37"/>
      <c r="AL23" s="38"/>
      <c r="AM23" s="39"/>
      <c r="AN23" s="37"/>
      <c r="AO23" s="37"/>
      <c r="AP23" s="37"/>
      <c r="AQ23" s="40"/>
      <c r="AR23" s="41"/>
      <c r="AS23" s="37"/>
      <c r="AT23" s="37"/>
      <c r="AU23" s="37"/>
      <c r="AV23" s="38"/>
      <c r="AW23" s="39"/>
      <c r="AX23" s="37"/>
      <c r="AY23" s="37"/>
      <c r="AZ23" s="37"/>
      <c r="BA23" s="40"/>
      <c r="BB23" s="41"/>
      <c r="BC23" s="37"/>
      <c r="BD23" s="37"/>
      <c r="BE23" s="37"/>
      <c r="BF23" s="38"/>
      <c r="BG23" s="39"/>
      <c r="BH23" s="37"/>
      <c r="BI23" s="37"/>
      <c r="BJ23" s="37"/>
      <c r="BK23" s="42"/>
    </row>
    <row r="24" spans="1:63" ht="12" customHeight="1" x14ac:dyDescent="0.3">
      <c r="A24" s="135" t="s">
        <v>63</v>
      </c>
      <c r="B24" s="136"/>
      <c r="C24" s="90" t="str">
        <f>CONCATENATE("Total= ",ROUND(SUM(C4:C23),0)," días netos")</f>
        <v>Total= 100 días netos</v>
      </c>
      <c r="D24" s="89"/>
      <c r="E24" s="89"/>
      <c r="F24" s="91"/>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row>
    <row r="25" spans="1:63" ht="12.6" thickBot="1" x14ac:dyDescent="0.35">
      <c r="A25" s="137"/>
      <c r="B25" s="138"/>
      <c r="C25" s="50" t="str">
        <f>CONCATENATE("Total= ",ROUND(SUM(C6:C23)/20,1)," meses netos")</f>
        <v>Total= 5 meses netos</v>
      </c>
      <c r="D25" s="92"/>
      <c r="E25" s="92"/>
      <c r="F25" s="93"/>
    </row>
    <row r="26" spans="1:63" ht="12.6" thickBot="1" x14ac:dyDescent="0.35">
      <c r="A26" s="139"/>
      <c r="B26" s="140"/>
    </row>
  </sheetData>
  <mergeCells count="16">
    <mergeCell ref="A1:A2"/>
    <mergeCell ref="C1:C2"/>
    <mergeCell ref="A24:B26"/>
    <mergeCell ref="B1:B2"/>
    <mergeCell ref="BG1:BK1"/>
    <mergeCell ref="BB1:BF1"/>
    <mergeCell ref="X1:AB1"/>
    <mergeCell ref="AC1:AG1"/>
    <mergeCell ref="AH1:AL1"/>
    <mergeCell ref="AM1:AQ1"/>
    <mergeCell ref="AR1:AV1"/>
    <mergeCell ref="AW1:BA1"/>
    <mergeCell ref="D1:H1"/>
    <mergeCell ref="I1:M1"/>
    <mergeCell ref="N1:R1"/>
    <mergeCell ref="S1:W1"/>
  </mergeCells>
  <hyperlinks>
    <hyperlink ref="B5" location="'Cap5'!A1" display="5. RESPONSABILIDAD DE LA DIRECCIÓN" xr:uid="{00000000-0004-0000-0000-000000000000}"/>
    <hyperlink ref="B10" location="'Cap6'!A1" display="6. GESTIÓN DE LOS RECURSOS" xr:uid="{00000000-0004-0000-0000-000001000000}"/>
    <hyperlink ref="B15" location="'Cap7'!A1" display="7. CONFIRMACIÓN METROLÓGICA Y REALIZACIÓN DE LOS PROCESOS DE MEDICIÓN" xr:uid="{00000000-0004-0000-0000-000002000000}"/>
    <hyperlink ref="B19" location="'Cap8'!A1" display="8. ANÁLISIS Y MEJORA DEL SGM" xr:uid="{00000000-0004-0000-0000-000003000000}"/>
  </hyperlinks>
  <pageMargins left="0.23622047244094491" right="0.23622047244094491" top="0.74803149606299213" bottom="0.74803149606299213" header="0.31496062992125984" footer="0.31496062992125984"/>
  <pageSetup scale="55" orientation="landscape" r:id="rId1"/>
  <headerFooter>
    <oddHeader>&amp;L&amp;G&amp;CMETRyCAL Metrología y Calidad
www.metrycal.com&amp;RCronogramaAcreditacion17025</oddHeader>
    <oddFooter>Página &amp;P</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39997558519241921"/>
  </sheetPr>
  <dimension ref="A1:AC14"/>
  <sheetViews>
    <sheetView showGridLines="0" showRowColHeaders="0" zoomScale="160" zoomScaleNormal="160" workbookViewId="0">
      <pane xSplit="4" ySplit="2" topLeftCell="E3" activePane="bottomRight" state="frozen"/>
      <selection activeCell="D15" sqref="D15"/>
      <selection pane="topRight" activeCell="D15" sqref="D15"/>
      <selection pane="bottomLeft" activeCell="D15" sqref="D15"/>
      <selection pane="bottomRight" activeCell="D1" sqref="D1:D2"/>
    </sheetView>
  </sheetViews>
  <sheetFormatPr baseColWidth="10" defaultColWidth="11.44140625" defaultRowHeight="12" x14ac:dyDescent="0.3"/>
  <cols>
    <col min="1" max="1" width="6.21875" style="6" customWidth="1"/>
    <col min="2" max="2" width="7.44140625" style="3" customWidth="1"/>
    <col min="3" max="3" width="6.21875" style="5" customWidth="1"/>
    <col min="4" max="4" width="59.44140625" style="2" customWidth="1"/>
    <col min="5" max="29" width="2.5546875" style="1" customWidth="1"/>
    <col min="30" max="16384" width="11.44140625" style="1"/>
  </cols>
  <sheetData>
    <row r="1" spans="1:29" s="4" customFormat="1" ht="28.5" customHeight="1" x14ac:dyDescent="0.3">
      <c r="A1" s="155" t="s">
        <v>18</v>
      </c>
      <c r="B1" s="157" t="s">
        <v>12</v>
      </c>
      <c r="C1" s="159" t="s">
        <v>39</v>
      </c>
      <c r="D1" s="161" t="s">
        <v>92</v>
      </c>
      <c r="E1" s="163" t="s">
        <v>13</v>
      </c>
      <c r="F1" s="153"/>
      <c r="G1" s="153"/>
      <c r="H1" s="153"/>
      <c r="I1" s="153"/>
      <c r="J1" s="153" t="s">
        <v>14</v>
      </c>
      <c r="K1" s="153"/>
      <c r="L1" s="153"/>
      <c r="M1" s="153"/>
      <c r="N1" s="153"/>
      <c r="O1" s="153" t="s">
        <v>15</v>
      </c>
      <c r="P1" s="153"/>
      <c r="Q1" s="153"/>
      <c r="R1" s="153"/>
      <c r="S1" s="153"/>
      <c r="T1" s="153" t="s">
        <v>16</v>
      </c>
      <c r="U1" s="153"/>
      <c r="V1" s="153"/>
      <c r="W1" s="153"/>
      <c r="X1" s="153"/>
      <c r="Y1" s="153" t="s">
        <v>17</v>
      </c>
      <c r="Z1" s="153"/>
      <c r="AA1" s="153"/>
      <c r="AB1" s="153"/>
      <c r="AC1" s="154"/>
    </row>
    <row r="2" spans="1:29" s="4" customFormat="1" ht="10.5" customHeight="1" thickBot="1" x14ac:dyDescent="0.35">
      <c r="A2" s="156"/>
      <c r="B2" s="158"/>
      <c r="C2" s="160"/>
      <c r="D2" s="162"/>
      <c r="E2" s="78">
        <v>1</v>
      </c>
      <c r="F2" s="79">
        <v>2</v>
      </c>
      <c r="G2" s="79">
        <v>3</v>
      </c>
      <c r="H2" s="79">
        <v>4</v>
      </c>
      <c r="I2" s="79">
        <v>5</v>
      </c>
      <c r="J2" s="79">
        <v>1</v>
      </c>
      <c r="K2" s="79">
        <v>2</v>
      </c>
      <c r="L2" s="79">
        <v>3</v>
      </c>
      <c r="M2" s="79">
        <v>4</v>
      </c>
      <c r="N2" s="79">
        <v>5</v>
      </c>
      <c r="O2" s="79">
        <v>1</v>
      </c>
      <c r="P2" s="79">
        <v>2</v>
      </c>
      <c r="Q2" s="79">
        <v>3</v>
      </c>
      <c r="R2" s="79">
        <v>4</v>
      </c>
      <c r="S2" s="79">
        <v>5</v>
      </c>
      <c r="T2" s="79">
        <v>1</v>
      </c>
      <c r="U2" s="79">
        <v>2</v>
      </c>
      <c r="V2" s="79">
        <v>3</v>
      </c>
      <c r="W2" s="79">
        <v>4</v>
      </c>
      <c r="X2" s="79">
        <v>5</v>
      </c>
      <c r="Y2" s="79">
        <v>1</v>
      </c>
      <c r="Z2" s="79">
        <v>2</v>
      </c>
      <c r="AA2" s="79">
        <v>3</v>
      </c>
      <c r="AB2" s="79">
        <v>4</v>
      </c>
      <c r="AC2" s="80">
        <v>5</v>
      </c>
    </row>
    <row r="3" spans="1:29" s="4" customFormat="1" ht="12.75" customHeight="1" thickBot="1" x14ac:dyDescent="0.35">
      <c r="A3" s="81"/>
      <c r="B3" s="82"/>
      <c r="C3" s="82"/>
      <c r="D3" s="86" t="str">
        <f>Cronograma!B5</f>
        <v>5. RESPONSABILIDAD DE LA DIRECCIÓN</v>
      </c>
      <c r="E3" s="83"/>
      <c r="F3" s="84"/>
      <c r="G3" s="84"/>
      <c r="H3" s="84"/>
      <c r="I3" s="84"/>
      <c r="J3" s="84"/>
      <c r="K3" s="84"/>
      <c r="L3" s="84"/>
      <c r="M3" s="84"/>
      <c r="N3" s="84"/>
      <c r="O3" s="84"/>
      <c r="P3" s="84"/>
      <c r="Q3" s="84"/>
      <c r="R3" s="84"/>
      <c r="S3" s="84"/>
      <c r="T3" s="84"/>
      <c r="U3" s="84"/>
      <c r="V3" s="84"/>
      <c r="W3" s="84"/>
      <c r="X3" s="84"/>
      <c r="Y3" s="84"/>
      <c r="Z3" s="84"/>
      <c r="AA3" s="84"/>
      <c r="AB3" s="84"/>
      <c r="AC3" s="85"/>
    </row>
    <row r="4" spans="1:29" x14ac:dyDescent="0.3">
      <c r="A4" s="147">
        <f>Cronograma!A6</f>
        <v>5.0999999999999996</v>
      </c>
      <c r="B4" s="150">
        <f>Cronograma!C6</f>
        <v>5</v>
      </c>
      <c r="C4" s="54">
        <f>A4</f>
        <v>5.0999999999999996</v>
      </c>
      <c r="D4" s="8" t="str">
        <f>Cronograma!B6</f>
        <v>Función metrológica</v>
      </c>
      <c r="E4" s="43"/>
      <c r="F4" s="44"/>
      <c r="G4" s="44"/>
      <c r="H4" s="44"/>
      <c r="I4" s="45"/>
      <c r="J4" s="46"/>
      <c r="K4" s="44"/>
      <c r="L4" s="44"/>
      <c r="M4" s="44"/>
      <c r="N4" s="47"/>
      <c r="O4" s="48"/>
      <c r="P4" s="44"/>
      <c r="Q4" s="44"/>
      <c r="R4" s="44"/>
      <c r="S4" s="45"/>
      <c r="T4" s="46"/>
      <c r="U4" s="44"/>
      <c r="V4" s="44"/>
      <c r="W4" s="44"/>
      <c r="X4" s="47"/>
      <c r="Y4" s="48"/>
      <c r="Z4" s="44"/>
      <c r="AA4" s="44"/>
      <c r="AB4" s="44"/>
      <c r="AC4" s="49"/>
    </row>
    <row r="5" spans="1:29" ht="48" x14ac:dyDescent="0.3">
      <c r="A5" s="148"/>
      <c r="B5" s="151"/>
      <c r="C5" s="73" t="s">
        <v>40</v>
      </c>
      <c r="D5" s="9" t="s">
        <v>54</v>
      </c>
      <c r="E5" s="23"/>
      <c r="F5" s="24"/>
      <c r="G5" s="24"/>
      <c r="H5" s="24"/>
      <c r="I5" s="25"/>
      <c r="J5" s="26"/>
      <c r="K5" s="24"/>
      <c r="L5" s="24"/>
      <c r="M5" s="24"/>
      <c r="N5" s="27"/>
      <c r="O5" s="28"/>
      <c r="P5" s="24"/>
      <c r="Q5" s="24"/>
      <c r="R5" s="24"/>
      <c r="S5" s="25"/>
      <c r="T5" s="26"/>
      <c r="U5" s="24"/>
      <c r="V5" s="24"/>
      <c r="W5" s="24"/>
      <c r="X5" s="27"/>
      <c r="Y5" s="28"/>
      <c r="Z5" s="24"/>
      <c r="AA5" s="24"/>
      <c r="AB5" s="24"/>
      <c r="AC5" s="29"/>
    </row>
    <row r="6" spans="1:29" ht="24.6" thickBot="1" x14ac:dyDescent="0.35">
      <c r="A6" s="149"/>
      <c r="B6" s="152"/>
      <c r="C6" s="75" t="s">
        <v>41</v>
      </c>
      <c r="D6" s="11" t="s">
        <v>74</v>
      </c>
      <c r="E6" s="55"/>
      <c r="F6" s="56"/>
      <c r="G6" s="56"/>
      <c r="H6" s="56"/>
      <c r="I6" s="57"/>
      <c r="J6" s="58"/>
      <c r="K6" s="56"/>
      <c r="L6" s="56"/>
      <c r="M6" s="56"/>
      <c r="N6" s="59"/>
      <c r="O6" s="60"/>
      <c r="P6" s="56"/>
      <c r="Q6" s="56"/>
      <c r="R6" s="56"/>
      <c r="S6" s="57"/>
      <c r="T6" s="58"/>
      <c r="U6" s="56"/>
      <c r="V6" s="56"/>
      <c r="W6" s="56"/>
      <c r="X6" s="59"/>
      <c r="Y6" s="60"/>
      <c r="Z6" s="56"/>
      <c r="AA6" s="56"/>
      <c r="AB6" s="56"/>
      <c r="AC6" s="61"/>
    </row>
    <row r="7" spans="1:29" x14ac:dyDescent="0.3">
      <c r="A7" s="147">
        <f>Cronograma!A7</f>
        <v>5.2</v>
      </c>
      <c r="B7" s="150">
        <f>Cronograma!C7</f>
        <v>0</v>
      </c>
      <c r="C7" s="54">
        <f>Cronograma!A7</f>
        <v>5.2</v>
      </c>
      <c r="D7" s="8" t="str">
        <f>Cronograma!B7</f>
        <v>Enfoque en el cliente</v>
      </c>
      <c r="E7" s="43"/>
      <c r="F7" s="44"/>
      <c r="G7" s="44"/>
      <c r="H7" s="44"/>
      <c r="I7" s="45"/>
      <c r="J7" s="46"/>
      <c r="K7" s="44"/>
      <c r="L7" s="44"/>
      <c r="M7" s="44"/>
      <c r="N7" s="47"/>
      <c r="O7" s="48"/>
      <c r="P7" s="44"/>
      <c r="Q7" s="44"/>
      <c r="R7" s="44"/>
      <c r="S7" s="45"/>
      <c r="T7" s="46"/>
      <c r="U7" s="44"/>
      <c r="V7" s="44"/>
      <c r="W7" s="44"/>
      <c r="X7" s="47"/>
      <c r="Y7" s="48"/>
      <c r="Z7" s="44"/>
      <c r="AA7" s="44"/>
      <c r="AB7" s="44"/>
      <c r="AC7" s="49"/>
    </row>
    <row r="8" spans="1:29" ht="24.6" thickBot="1" x14ac:dyDescent="0.35">
      <c r="A8" s="149"/>
      <c r="B8" s="152"/>
      <c r="C8" s="76" t="s">
        <v>40</v>
      </c>
      <c r="D8" s="103" t="s">
        <v>44</v>
      </c>
      <c r="E8" s="64"/>
      <c r="F8" s="65"/>
      <c r="G8" s="65"/>
      <c r="H8" s="65"/>
      <c r="I8" s="66"/>
      <c r="J8" s="67"/>
      <c r="K8" s="65"/>
      <c r="L8" s="65"/>
      <c r="M8" s="65"/>
      <c r="N8" s="68"/>
      <c r="O8" s="69"/>
      <c r="P8" s="65"/>
      <c r="Q8" s="65"/>
      <c r="R8" s="65"/>
      <c r="S8" s="66"/>
      <c r="T8" s="67"/>
      <c r="U8" s="65"/>
      <c r="V8" s="65"/>
      <c r="W8" s="65"/>
      <c r="X8" s="68"/>
      <c r="Y8" s="69"/>
      <c r="Z8" s="65"/>
      <c r="AA8" s="65"/>
      <c r="AB8" s="65"/>
      <c r="AC8" s="70"/>
    </row>
    <row r="9" spans="1:29" x14ac:dyDescent="0.3">
      <c r="A9" s="147">
        <f>Cronograma!A8</f>
        <v>5.3</v>
      </c>
      <c r="B9" s="150">
        <f>Cronograma!C8</f>
        <v>2</v>
      </c>
      <c r="C9" s="54">
        <f>A9</f>
        <v>5.3</v>
      </c>
      <c r="D9" s="8" t="str">
        <f>Cronograma!B8</f>
        <v>Definición de objetivos de calidad</v>
      </c>
      <c r="E9" s="43"/>
      <c r="F9" s="44"/>
      <c r="G9" s="44"/>
      <c r="H9" s="44"/>
      <c r="I9" s="45"/>
      <c r="J9" s="46"/>
      <c r="K9" s="44"/>
      <c r="L9" s="44"/>
      <c r="M9" s="44"/>
      <c r="N9" s="47"/>
      <c r="O9" s="48"/>
      <c r="P9" s="44"/>
      <c r="Q9" s="44"/>
      <c r="R9" s="44"/>
      <c r="S9" s="45"/>
      <c r="T9" s="46"/>
      <c r="U9" s="44"/>
      <c r="V9" s="44"/>
      <c r="W9" s="44"/>
      <c r="X9" s="47"/>
      <c r="Y9" s="48"/>
      <c r="Z9" s="44"/>
      <c r="AA9" s="44"/>
      <c r="AB9" s="44"/>
      <c r="AC9" s="49"/>
    </row>
    <row r="10" spans="1:29" ht="60" x14ac:dyDescent="0.3">
      <c r="A10" s="148"/>
      <c r="B10" s="151"/>
      <c r="C10" s="73" t="s">
        <v>40</v>
      </c>
      <c r="D10" s="9" t="s">
        <v>75</v>
      </c>
      <c r="E10" s="23"/>
      <c r="F10" s="24"/>
      <c r="G10" s="24"/>
      <c r="H10" s="24"/>
      <c r="I10" s="25"/>
      <c r="J10" s="26"/>
      <c r="K10" s="24"/>
      <c r="L10" s="24"/>
      <c r="M10" s="24"/>
      <c r="N10" s="27"/>
      <c r="O10" s="28"/>
      <c r="P10" s="24"/>
      <c r="Q10" s="24"/>
      <c r="R10" s="24"/>
      <c r="S10" s="25"/>
      <c r="T10" s="26"/>
      <c r="U10" s="24"/>
      <c r="V10" s="24"/>
      <c r="W10" s="24"/>
      <c r="X10" s="27"/>
      <c r="Y10" s="28"/>
      <c r="Z10" s="24"/>
      <c r="AA10" s="24"/>
      <c r="AB10" s="24"/>
      <c r="AC10" s="29"/>
    </row>
    <row r="11" spans="1:29" ht="24.6" thickBot="1" x14ac:dyDescent="0.35">
      <c r="A11" s="149"/>
      <c r="B11" s="152"/>
      <c r="C11" s="75" t="s">
        <v>41</v>
      </c>
      <c r="D11" s="11" t="s">
        <v>45</v>
      </c>
      <c r="E11" s="55"/>
      <c r="F11" s="56"/>
      <c r="G11" s="56"/>
      <c r="H11" s="56"/>
      <c r="I11" s="57"/>
      <c r="J11" s="58"/>
      <c r="K11" s="56"/>
      <c r="L11" s="56"/>
      <c r="M11" s="56"/>
      <c r="N11" s="59"/>
      <c r="O11" s="60"/>
      <c r="P11" s="56"/>
      <c r="Q11" s="56"/>
      <c r="R11" s="56"/>
      <c r="S11" s="57"/>
      <c r="T11" s="58"/>
      <c r="U11" s="56"/>
      <c r="V11" s="56"/>
      <c r="W11" s="56"/>
      <c r="X11" s="59"/>
      <c r="Y11" s="60"/>
      <c r="Z11" s="56"/>
      <c r="AA11" s="56"/>
      <c r="AB11" s="56"/>
      <c r="AC11" s="61"/>
    </row>
    <row r="12" spans="1:29" x14ac:dyDescent="0.3">
      <c r="A12" s="147">
        <f>Cronograma!A9</f>
        <v>5.4</v>
      </c>
      <c r="B12" s="150">
        <f>Cronograma!C9</f>
        <v>3</v>
      </c>
      <c r="C12" s="54">
        <f>A12</f>
        <v>5.4</v>
      </c>
      <c r="D12" s="8" t="str">
        <f>Cronograma!B9</f>
        <v>Revisiones por la dirección</v>
      </c>
      <c r="E12" s="43"/>
      <c r="F12" s="44"/>
      <c r="G12" s="44"/>
      <c r="H12" s="44"/>
      <c r="I12" s="45"/>
      <c r="J12" s="46"/>
      <c r="K12" s="44"/>
      <c r="L12" s="44"/>
      <c r="M12" s="44"/>
      <c r="N12" s="47"/>
      <c r="O12" s="48"/>
      <c r="P12" s="44"/>
      <c r="Q12" s="44"/>
      <c r="R12" s="44"/>
      <c r="S12" s="45"/>
      <c r="T12" s="46"/>
      <c r="U12" s="44"/>
      <c r="V12" s="44"/>
      <c r="W12" s="44"/>
      <c r="X12" s="47"/>
      <c r="Y12" s="48"/>
      <c r="Z12" s="44"/>
      <c r="AA12" s="44"/>
      <c r="AB12" s="44"/>
      <c r="AC12" s="49"/>
    </row>
    <row r="13" spans="1:29" x14ac:dyDescent="0.3">
      <c r="A13" s="148"/>
      <c r="B13" s="151"/>
      <c r="C13" s="73" t="s">
        <v>40</v>
      </c>
      <c r="D13" s="9" t="s">
        <v>64</v>
      </c>
      <c r="E13" s="23"/>
      <c r="F13" s="24"/>
      <c r="G13" s="24"/>
      <c r="H13" s="24"/>
      <c r="I13" s="25"/>
      <c r="J13" s="26"/>
      <c r="K13" s="24"/>
      <c r="L13" s="24"/>
      <c r="M13" s="24"/>
      <c r="N13" s="27"/>
      <c r="O13" s="28"/>
      <c r="P13" s="24"/>
      <c r="Q13" s="24"/>
      <c r="R13" s="24"/>
      <c r="S13" s="25"/>
      <c r="T13" s="26"/>
      <c r="U13" s="24"/>
      <c r="V13" s="24"/>
      <c r="W13" s="24"/>
      <c r="X13" s="27"/>
      <c r="Y13" s="28"/>
      <c r="Z13" s="24"/>
      <c r="AA13" s="24"/>
      <c r="AB13" s="24"/>
      <c r="AC13" s="29"/>
    </row>
    <row r="14" spans="1:29" ht="60.6" thickBot="1" x14ac:dyDescent="0.35">
      <c r="A14" s="149"/>
      <c r="B14" s="152"/>
      <c r="C14" s="75" t="s">
        <v>41</v>
      </c>
      <c r="D14" s="11" t="s">
        <v>65</v>
      </c>
      <c r="E14" s="55"/>
      <c r="F14" s="56"/>
      <c r="G14" s="56"/>
      <c r="H14" s="56"/>
      <c r="I14" s="57"/>
      <c r="J14" s="58"/>
      <c r="K14" s="56"/>
      <c r="L14" s="56"/>
      <c r="M14" s="56"/>
      <c r="N14" s="59"/>
      <c r="O14" s="60"/>
      <c r="P14" s="56"/>
      <c r="Q14" s="56"/>
      <c r="R14" s="56"/>
      <c r="S14" s="57"/>
      <c r="T14" s="58"/>
      <c r="U14" s="56"/>
      <c r="V14" s="56"/>
      <c r="W14" s="56"/>
      <c r="X14" s="59"/>
      <c r="Y14" s="60"/>
      <c r="Z14" s="56"/>
      <c r="AA14" s="56"/>
      <c r="AB14" s="56"/>
      <c r="AC14" s="61"/>
    </row>
  </sheetData>
  <sheetProtection selectLockedCells="1"/>
  <mergeCells count="17">
    <mergeCell ref="A7:A8"/>
    <mergeCell ref="B7:B8"/>
    <mergeCell ref="A9:A11"/>
    <mergeCell ref="B9:B11"/>
    <mergeCell ref="A12:A14"/>
    <mergeCell ref="B12:B14"/>
    <mergeCell ref="A4:A6"/>
    <mergeCell ref="B4:B6"/>
    <mergeCell ref="O1:S1"/>
    <mergeCell ref="T1:X1"/>
    <mergeCell ref="Y1:AC1"/>
    <mergeCell ref="A1:A2"/>
    <mergeCell ref="B1:B2"/>
    <mergeCell ref="C1:C2"/>
    <mergeCell ref="D1:D2"/>
    <mergeCell ref="E1:I1"/>
    <mergeCell ref="J1:N1"/>
  </mergeCells>
  <pageMargins left="0.23622047244094491" right="0.23622047244094491" top="0.74803149606299213" bottom="0.74803149606299213" header="0.31496062992125984" footer="0.31496062992125984"/>
  <pageSetup scale="55" orientation="landscape" r:id="rId1"/>
  <headerFooter>
    <oddHeader>&amp;L&amp;G&amp;CMETRyCAL Metrología y Calidad
www.metrycal.com&amp;RCronogramaAcreditacion17025</oddHeader>
    <oddFooter>Página &amp;P</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39997558519241921"/>
  </sheetPr>
  <dimension ref="A1:AC23"/>
  <sheetViews>
    <sheetView showGridLines="0" showRowColHeaders="0" zoomScale="160" zoomScaleNormal="160" workbookViewId="0">
      <pane xSplit="4" ySplit="2" topLeftCell="E3" activePane="bottomRight" state="frozen"/>
      <selection activeCell="D15" sqref="D15"/>
      <selection pane="topRight" activeCell="D15" sqref="D15"/>
      <selection pane="bottomLeft" activeCell="D15" sqref="D15"/>
      <selection pane="bottomRight" activeCell="D3" sqref="D3"/>
    </sheetView>
  </sheetViews>
  <sheetFormatPr baseColWidth="10" defaultColWidth="11.44140625" defaultRowHeight="12" x14ac:dyDescent="0.3"/>
  <cols>
    <col min="1" max="1" width="6.21875" style="6" customWidth="1"/>
    <col min="2" max="2" width="7.44140625" style="3" customWidth="1"/>
    <col min="3" max="3" width="6.21875" style="5" customWidth="1"/>
    <col min="4" max="4" width="59.44140625" style="2" customWidth="1"/>
    <col min="5" max="29" width="2.5546875" style="1" customWidth="1"/>
    <col min="30" max="16384" width="11.44140625" style="1"/>
  </cols>
  <sheetData>
    <row r="1" spans="1:29" s="4" customFormat="1" ht="28.5" customHeight="1" x14ac:dyDescent="0.3">
      <c r="A1" s="155" t="s">
        <v>18</v>
      </c>
      <c r="B1" s="157" t="s">
        <v>12</v>
      </c>
      <c r="C1" s="159" t="s">
        <v>39</v>
      </c>
      <c r="D1" s="161" t="s">
        <v>92</v>
      </c>
      <c r="E1" s="163" t="s">
        <v>13</v>
      </c>
      <c r="F1" s="153"/>
      <c r="G1" s="153"/>
      <c r="H1" s="153"/>
      <c r="I1" s="153"/>
      <c r="J1" s="153" t="s">
        <v>14</v>
      </c>
      <c r="K1" s="153"/>
      <c r="L1" s="153"/>
      <c r="M1" s="153"/>
      <c r="N1" s="153"/>
      <c r="O1" s="153" t="s">
        <v>15</v>
      </c>
      <c r="P1" s="153"/>
      <c r="Q1" s="153"/>
      <c r="R1" s="153"/>
      <c r="S1" s="153"/>
      <c r="T1" s="153" t="s">
        <v>16</v>
      </c>
      <c r="U1" s="153"/>
      <c r="V1" s="153"/>
      <c r="W1" s="153"/>
      <c r="X1" s="153"/>
      <c r="Y1" s="153" t="s">
        <v>17</v>
      </c>
      <c r="Z1" s="153"/>
      <c r="AA1" s="153"/>
      <c r="AB1" s="153"/>
      <c r="AC1" s="154"/>
    </row>
    <row r="2" spans="1:29" s="4" customFormat="1" ht="10.5" customHeight="1" thickBot="1" x14ac:dyDescent="0.35">
      <c r="A2" s="156"/>
      <c r="B2" s="158"/>
      <c r="C2" s="160"/>
      <c r="D2" s="162"/>
      <c r="E2" s="78">
        <v>1</v>
      </c>
      <c r="F2" s="79">
        <v>2</v>
      </c>
      <c r="G2" s="79">
        <v>3</v>
      </c>
      <c r="H2" s="79">
        <v>4</v>
      </c>
      <c r="I2" s="79">
        <v>5</v>
      </c>
      <c r="J2" s="79">
        <v>1</v>
      </c>
      <c r="K2" s="79">
        <v>2</v>
      </c>
      <c r="L2" s="79">
        <v>3</v>
      </c>
      <c r="M2" s="79">
        <v>4</v>
      </c>
      <c r="N2" s="79">
        <v>5</v>
      </c>
      <c r="O2" s="79">
        <v>1</v>
      </c>
      <c r="P2" s="79">
        <v>2</v>
      </c>
      <c r="Q2" s="79">
        <v>3</v>
      </c>
      <c r="R2" s="79">
        <v>4</v>
      </c>
      <c r="S2" s="79">
        <v>5</v>
      </c>
      <c r="T2" s="79">
        <v>1</v>
      </c>
      <c r="U2" s="79">
        <v>2</v>
      </c>
      <c r="V2" s="79">
        <v>3</v>
      </c>
      <c r="W2" s="79">
        <v>4</v>
      </c>
      <c r="X2" s="79">
        <v>5</v>
      </c>
      <c r="Y2" s="79">
        <v>1</v>
      </c>
      <c r="Z2" s="79">
        <v>2</v>
      </c>
      <c r="AA2" s="79">
        <v>3</v>
      </c>
      <c r="AB2" s="79">
        <v>4</v>
      </c>
      <c r="AC2" s="80">
        <v>5</v>
      </c>
    </row>
    <row r="3" spans="1:29" s="4" customFormat="1" ht="12.75" customHeight="1" thickBot="1" x14ac:dyDescent="0.35">
      <c r="A3" s="81"/>
      <c r="B3" s="82"/>
      <c r="C3" s="82"/>
      <c r="D3" s="86" t="str">
        <f>Cronograma!B10</f>
        <v>6. GESTIÓN DE LOS RECURSOS</v>
      </c>
      <c r="E3" s="83"/>
      <c r="F3" s="84"/>
      <c r="G3" s="84"/>
      <c r="H3" s="84"/>
      <c r="I3" s="84"/>
      <c r="J3" s="84"/>
      <c r="K3" s="84"/>
      <c r="L3" s="84"/>
      <c r="M3" s="84"/>
      <c r="N3" s="84"/>
      <c r="O3" s="84"/>
      <c r="P3" s="84"/>
      <c r="Q3" s="84"/>
      <c r="R3" s="84"/>
      <c r="S3" s="84"/>
      <c r="T3" s="84"/>
      <c r="U3" s="84"/>
      <c r="V3" s="84"/>
      <c r="W3" s="84"/>
      <c r="X3" s="84"/>
      <c r="Y3" s="84"/>
      <c r="Z3" s="84"/>
      <c r="AA3" s="84"/>
      <c r="AB3" s="84"/>
      <c r="AC3" s="85"/>
    </row>
    <row r="4" spans="1:29" x14ac:dyDescent="0.3">
      <c r="A4" s="147">
        <f>Cronograma!A11</f>
        <v>6.1</v>
      </c>
      <c r="B4" s="150">
        <f>Cronograma!C11</f>
        <v>8</v>
      </c>
      <c r="C4" s="54">
        <f>A4</f>
        <v>6.1</v>
      </c>
      <c r="D4" s="8" t="str">
        <f>Cronograma!B11</f>
        <v>Recursos humanos</v>
      </c>
      <c r="E4" s="43"/>
      <c r="F4" s="44"/>
      <c r="G4" s="44"/>
      <c r="H4" s="44"/>
      <c r="I4" s="45"/>
      <c r="J4" s="46"/>
      <c r="K4" s="44"/>
      <c r="L4" s="44"/>
      <c r="M4" s="44"/>
      <c r="N4" s="47"/>
      <c r="O4" s="48"/>
      <c r="P4" s="44"/>
      <c r="Q4" s="44"/>
      <c r="R4" s="44"/>
      <c r="S4" s="45"/>
      <c r="T4" s="46"/>
      <c r="U4" s="44"/>
      <c r="V4" s="44"/>
      <c r="W4" s="44"/>
      <c r="X4" s="47"/>
      <c r="Y4" s="48"/>
      <c r="Z4" s="44"/>
      <c r="AA4" s="44"/>
      <c r="AB4" s="44"/>
      <c r="AC4" s="49"/>
    </row>
    <row r="5" spans="1:29" ht="60" x14ac:dyDescent="0.3">
      <c r="A5" s="148"/>
      <c r="B5" s="151"/>
      <c r="C5" s="73" t="s">
        <v>40</v>
      </c>
      <c r="D5" s="9" t="s">
        <v>76</v>
      </c>
      <c r="E5" s="23"/>
      <c r="F5" s="24"/>
      <c r="G5" s="24"/>
      <c r="H5" s="24"/>
      <c r="I5" s="25"/>
      <c r="J5" s="26"/>
      <c r="K5" s="24"/>
      <c r="L5" s="24"/>
      <c r="M5" s="24"/>
      <c r="N5" s="27"/>
      <c r="O5" s="28"/>
      <c r="P5" s="24"/>
      <c r="Q5" s="24"/>
      <c r="R5" s="24"/>
      <c r="S5" s="25"/>
      <c r="T5" s="26"/>
      <c r="U5" s="24"/>
      <c r="V5" s="24"/>
      <c r="W5" s="24"/>
      <c r="X5" s="27"/>
      <c r="Y5" s="28"/>
      <c r="Z5" s="24"/>
      <c r="AA5" s="24"/>
      <c r="AB5" s="24"/>
      <c r="AC5" s="29"/>
    </row>
    <row r="6" spans="1:29" ht="48" x14ac:dyDescent="0.3">
      <c r="A6" s="164"/>
      <c r="B6" s="165"/>
      <c r="C6" s="72" t="s">
        <v>41</v>
      </c>
      <c r="D6" s="104" t="s">
        <v>55</v>
      </c>
      <c r="E6" s="105"/>
      <c r="F6" s="106"/>
      <c r="G6" s="106"/>
      <c r="H6" s="106"/>
      <c r="I6" s="107"/>
      <c r="J6" s="108"/>
      <c r="K6" s="106"/>
      <c r="L6" s="106"/>
      <c r="M6" s="106"/>
      <c r="N6" s="109"/>
      <c r="O6" s="110"/>
      <c r="P6" s="106"/>
      <c r="Q6" s="106"/>
      <c r="R6" s="106"/>
      <c r="S6" s="107"/>
      <c r="T6" s="108"/>
      <c r="U6" s="106"/>
      <c r="V6" s="106"/>
      <c r="W6" s="106"/>
      <c r="X6" s="109"/>
      <c r="Y6" s="110"/>
      <c r="Z6" s="106"/>
      <c r="AA6" s="106"/>
      <c r="AB6" s="106"/>
      <c r="AC6" s="111"/>
    </row>
    <row r="7" spans="1:29" ht="24" customHeight="1" x14ac:dyDescent="0.3">
      <c r="A7" s="164"/>
      <c r="B7" s="165"/>
      <c r="C7" s="72" t="s">
        <v>42</v>
      </c>
      <c r="D7" s="104" t="s">
        <v>77</v>
      </c>
      <c r="E7" s="105"/>
      <c r="F7" s="106"/>
      <c r="G7" s="106"/>
      <c r="H7" s="106"/>
      <c r="I7" s="107"/>
      <c r="J7" s="108"/>
      <c r="K7" s="106"/>
      <c r="L7" s="106"/>
      <c r="M7" s="106"/>
      <c r="N7" s="109"/>
      <c r="O7" s="110"/>
      <c r="P7" s="106"/>
      <c r="Q7" s="106"/>
      <c r="R7" s="106"/>
      <c r="S7" s="107"/>
      <c r="T7" s="108"/>
      <c r="U7" s="106"/>
      <c r="V7" s="106"/>
      <c r="W7" s="106"/>
      <c r="X7" s="109"/>
      <c r="Y7" s="110"/>
      <c r="Z7" s="106"/>
      <c r="AA7" s="106"/>
      <c r="AB7" s="106"/>
      <c r="AC7" s="111"/>
    </row>
    <row r="8" spans="1:29" ht="24" customHeight="1" x14ac:dyDescent="0.3">
      <c r="A8" s="164"/>
      <c r="B8" s="165"/>
      <c r="C8" s="72" t="s">
        <v>46</v>
      </c>
      <c r="D8" s="104" t="s">
        <v>78</v>
      </c>
      <c r="E8" s="105"/>
      <c r="F8" s="106"/>
      <c r="G8" s="106"/>
      <c r="H8" s="106"/>
      <c r="I8" s="107"/>
      <c r="J8" s="108"/>
      <c r="K8" s="106"/>
      <c r="L8" s="106"/>
      <c r="M8" s="106"/>
      <c r="N8" s="109"/>
      <c r="O8" s="110"/>
      <c r="P8" s="106"/>
      <c r="Q8" s="106"/>
      <c r="R8" s="106"/>
      <c r="S8" s="107"/>
      <c r="T8" s="108"/>
      <c r="U8" s="106"/>
      <c r="V8" s="106"/>
      <c r="W8" s="106"/>
      <c r="X8" s="109"/>
      <c r="Y8" s="110"/>
      <c r="Z8" s="106"/>
      <c r="AA8" s="106"/>
      <c r="AB8" s="106"/>
      <c r="AC8" s="111"/>
    </row>
    <row r="9" spans="1:29" ht="24" customHeight="1" x14ac:dyDescent="0.3">
      <c r="A9" s="164"/>
      <c r="B9" s="165"/>
      <c r="C9" s="72" t="s">
        <v>47</v>
      </c>
      <c r="D9" s="104" t="s">
        <v>79</v>
      </c>
      <c r="E9" s="105"/>
      <c r="F9" s="106"/>
      <c r="G9" s="106"/>
      <c r="H9" s="106"/>
      <c r="I9" s="107"/>
      <c r="J9" s="108"/>
      <c r="K9" s="106"/>
      <c r="L9" s="106"/>
      <c r="M9" s="106"/>
      <c r="N9" s="109"/>
      <c r="O9" s="110"/>
      <c r="P9" s="106"/>
      <c r="Q9" s="106"/>
      <c r="R9" s="106"/>
      <c r="S9" s="107"/>
      <c r="T9" s="108"/>
      <c r="U9" s="106"/>
      <c r="V9" s="106"/>
      <c r="W9" s="106"/>
      <c r="X9" s="109"/>
      <c r="Y9" s="110"/>
      <c r="Z9" s="106"/>
      <c r="AA9" s="106"/>
      <c r="AB9" s="106"/>
      <c r="AC9" s="111"/>
    </row>
    <row r="10" spans="1:29" ht="24.6" thickBot="1" x14ac:dyDescent="0.35">
      <c r="A10" s="149"/>
      <c r="B10" s="152"/>
      <c r="C10" s="75" t="s">
        <v>56</v>
      </c>
      <c r="D10" s="11" t="s">
        <v>80</v>
      </c>
      <c r="E10" s="55"/>
      <c r="F10" s="56"/>
      <c r="G10" s="56"/>
      <c r="H10" s="56"/>
      <c r="I10" s="57"/>
      <c r="J10" s="58"/>
      <c r="K10" s="56"/>
      <c r="L10" s="56"/>
      <c r="M10" s="56"/>
      <c r="N10" s="59"/>
      <c r="O10" s="60"/>
      <c r="P10" s="56"/>
      <c r="Q10" s="56"/>
      <c r="R10" s="56"/>
      <c r="S10" s="57"/>
      <c r="T10" s="58"/>
      <c r="U10" s="56"/>
      <c r="V10" s="56"/>
      <c r="W10" s="56"/>
      <c r="X10" s="59"/>
      <c r="Y10" s="60"/>
      <c r="Z10" s="56"/>
      <c r="AA10" s="56"/>
      <c r="AB10" s="56"/>
      <c r="AC10" s="61"/>
    </row>
    <row r="11" spans="1:29" x14ac:dyDescent="0.3">
      <c r="A11" s="147">
        <f>Cronograma!A12</f>
        <v>6.2</v>
      </c>
      <c r="B11" s="150">
        <f>Cronograma!C12</f>
        <v>6</v>
      </c>
      <c r="C11" s="54">
        <f>A11</f>
        <v>6.2</v>
      </c>
      <c r="D11" s="8" t="str">
        <f>Cronograma!B12</f>
        <v>Recursos de información</v>
      </c>
      <c r="E11" s="43"/>
      <c r="F11" s="44"/>
      <c r="G11" s="44"/>
      <c r="H11" s="44"/>
      <c r="I11" s="45"/>
      <c r="J11" s="46"/>
      <c r="K11" s="44"/>
      <c r="L11" s="44"/>
      <c r="M11" s="44"/>
      <c r="N11" s="47"/>
      <c r="O11" s="48"/>
      <c r="P11" s="44"/>
      <c r="Q11" s="44"/>
      <c r="R11" s="44"/>
      <c r="S11" s="45"/>
      <c r="T11" s="46"/>
      <c r="U11" s="44"/>
      <c r="V11" s="44"/>
      <c r="W11" s="44"/>
      <c r="X11" s="47"/>
      <c r="Y11" s="48"/>
      <c r="Z11" s="44"/>
      <c r="AA11" s="44"/>
      <c r="AB11" s="44"/>
      <c r="AC11" s="49"/>
    </row>
    <row r="12" spans="1:29" ht="24" x14ac:dyDescent="0.3">
      <c r="A12" s="166"/>
      <c r="B12" s="167"/>
      <c r="C12" s="120" t="s">
        <v>40</v>
      </c>
      <c r="D12" s="7" t="s">
        <v>66</v>
      </c>
      <c r="E12" s="112"/>
      <c r="F12" s="113"/>
      <c r="G12" s="113"/>
      <c r="H12" s="113"/>
      <c r="I12" s="114"/>
      <c r="J12" s="115"/>
      <c r="K12" s="113"/>
      <c r="L12" s="113"/>
      <c r="M12" s="113"/>
      <c r="N12" s="116"/>
      <c r="O12" s="117"/>
      <c r="P12" s="113"/>
      <c r="Q12" s="113"/>
      <c r="R12" s="113"/>
      <c r="S12" s="114"/>
      <c r="T12" s="115"/>
      <c r="U12" s="113"/>
      <c r="V12" s="113"/>
      <c r="W12" s="113"/>
      <c r="X12" s="116"/>
      <c r="Y12" s="117"/>
      <c r="Z12" s="113"/>
      <c r="AA12" s="113"/>
      <c r="AB12" s="113"/>
      <c r="AC12" s="118"/>
    </row>
    <row r="13" spans="1:29" x14ac:dyDescent="0.3">
      <c r="A13" s="166"/>
      <c r="B13" s="167"/>
      <c r="C13" s="120" t="s">
        <v>41</v>
      </c>
      <c r="D13" s="7" t="s">
        <v>81</v>
      </c>
      <c r="E13" s="112"/>
      <c r="F13" s="113"/>
      <c r="G13" s="113"/>
      <c r="H13" s="113"/>
      <c r="I13" s="114"/>
      <c r="J13" s="115"/>
      <c r="K13" s="113"/>
      <c r="L13" s="113"/>
      <c r="M13" s="113"/>
      <c r="N13" s="116"/>
      <c r="O13" s="117"/>
      <c r="P13" s="113"/>
      <c r="Q13" s="113"/>
      <c r="R13" s="113"/>
      <c r="S13" s="114"/>
      <c r="T13" s="115"/>
      <c r="U13" s="113"/>
      <c r="V13" s="113"/>
      <c r="W13" s="113"/>
      <c r="X13" s="116"/>
      <c r="Y13" s="117"/>
      <c r="Z13" s="113"/>
      <c r="AA13" s="113"/>
      <c r="AB13" s="113"/>
      <c r="AC13" s="118"/>
    </row>
    <row r="14" spans="1:29" x14ac:dyDescent="0.3">
      <c r="A14" s="166"/>
      <c r="B14" s="167"/>
      <c r="C14" s="120" t="s">
        <v>42</v>
      </c>
      <c r="D14" s="7" t="s">
        <v>49</v>
      </c>
      <c r="E14" s="112"/>
      <c r="F14" s="113"/>
      <c r="G14" s="113"/>
      <c r="H14" s="113"/>
      <c r="I14" s="114"/>
      <c r="J14" s="115"/>
      <c r="K14" s="113"/>
      <c r="L14" s="113"/>
      <c r="M14" s="113"/>
      <c r="N14" s="116"/>
      <c r="O14" s="117"/>
      <c r="P14" s="113"/>
      <c r="Q14" s="113"/>
      <c r="R14" s="113"/>
      <c r="S14" s="114"/>
      <c r="T14" s="115"/>
      <c r="U14" s="113"/>
      <c r="V14" s="113"/>
      <c r="W14" s="113"/>
      <c r="X14" s="116"/>
      <c r="Y14" s="117"/>
      <c r="Z14" s="113"/>
      <c r="AA14" s="113"/>
      <c r="AB14" s="113"/>
      <c r="AC14" s="118"/>
    </row>
    <row r="15" spans="1:29" x14ac:dyDescent="0.3">
      <c r="A15" s="166"/>
      <c r="B15" s="167"/>
      <c r="C15" s="120" t="s">
        <v>46</v>
      </c>
      <c r="D15" s="7" t="s">
        <v>48</v>
      </c>
      <c r="E15" s="112"/>
      <c r="F15" s="113"/>
      <c r="G15" s="113"/>
      <c r="H15" s="113"/>
      <c r="I15" s="114"/>
      <c r="J15" s="115"/>
      <c r="K15" s="113"/>
      <c r="L15" s="113"/>
      <c r="M15" s="113"/>
      <c r="N15" s="116"/>
      <c r="O15" s="117"/>
      <c r="P15" s="113"/>
      <c r="Q15" s="113"/>
      <c r="R15" s="113"/>
      <c r="S15" s="114"/>
      <c r="T15" s="115"/>
      <c r="U15" s="113"/>
      <c r="V15" s="113"/>
      <c r="W15" s="113"/>
      <c r="X15" s="116"/>
      <c r="Y15" s="117"/>
      <c r="Z15" s="113"/>
      <c r="AA15" s="113"/>
      <c r="AB15" s="113"/>
      <c r="AC15" s="118"/>
    </row>
    <row r="16" spans="1:29" ht="24" x14ac:dyDescent="0.3">
      <c r="A16" s="166"/>
      <c r="B16" s="167"/>
      <c r="C16" s="120" t="s">
        <v>47</v>
      </c>
      <c r="D16" s="7" t="s">
        <v>67</v>
      </c>
      <c r="E16" s="112"/>
      <c r="F16" s="113"/>
      <c r="G16" s="113"/>
      <c r="H16" s="113"/>
      <c r="I16" s="114"/>
      <c r="J16" s="115"/>
      <c r="K16" s="113"/>
      <c r="L16" s="113"/>
      <c r="M16" s="113"/>
      <c r="N16" s="116"/>
      <c r="O16" s="117"/>
      <c r="P16" s="113"/>
      <c r="Q16" s="113"/>
      <c r="R16" s="113"/>
      <c r="S16" s="114"/>
      <c r="T16" s="115"/>
      <c r="U16" s="113"/>
      <c r="V16" s="113"/>
      <c r="W16" s="113"/>
      <c r="X16" s="116"/>
      <c r="Y16" s="117"/>
      <c r="Z16" s="113"/>
      <c r="AA16" s="113"/>
      <c r="AB16" s="113"/>
      <c r="AC16" s="118"/>
    </row>
    <row r="17" spans="1:29" ht="24.6" thickBot="1" x14ac:dyDescent="0.35">
      <c r="A17" s="149"/>
      <c r="B17" s="152"/>
      <c r="C17" s="76" t="s">
        <v>56</v>
      </c>
      <c r="D17" s="103" t="s">
        <v>50</v>
      </c>
      <c r="E17" s="64"/>
      <c r="F17" s="65"/>
      <c r="G17" s="65"/>
      <c r="H17" s="65"/>
      <c r="I17" s="66"/>
      <c r="J17" s="67"/>
      <c r="K17" s="65"/>
      <c r="L17" s="65"/>
      <c r="M17" s="65"/>
      <c r="N17" s="68"/>
      <c r="O17" s="69"/>
      <c r="P17" s="65"/>
      <c r="Q17" s="65"/>
      <c r="R17" s="65"/>
      <c r="S17" s="66"/>
      <c r="T17" s="67"/>
      <c r="U17" s="65"/>
      <c r="V17" s="65"/>
      <c r="W17" s="65"/>
      <c r="X17" s="68"/>
      <c r="Y17" s="69"/>
      <c r="Z17" s="65"/>
      <c r="AA17" s="65"/>
      <c r="AB17" s="65"/>
      <c r="AC17" s="70"/>
    </row>
    <row r="18" spans="1:29" x14ac:dyDescent="0.3">
      <c r="A18" s="147">
        <f>Cronograma!A13</f>
        <v>6.3</v>
      </c>
      <c r="B18" s="150">
        <f>Cronograma!C13</f>
        <v>0</v>
      </c>
      <c r="C18" s="54">
        <f>A18</f>
        <v>6.3</v>
      </c>
      <c r="D18" s="8" t="str">
        <f>Cronograma!B13</f>
        <v>Recursos materiales</v>
      </c>
      <c r="E18" s="43"/>
      <c r="F18" s="44"/>
      <c r="G18" s="44"/>
      <c r="H18" s="44"/>
      <c r="I18" s="45"/>
      <c r="J18" s="46"/>
      <c r="K18" s="44"/>
      <c r="L18" s="44"/>
      <c r="M18" s="44"/>
      <c r="N18" s="47"/>
      <c r="O18" s="48"/>
      <c r="P18" s="44"/>
      <c r="Q18" s="44"/>
      <c r="R18" s="44"/>
      <c r="S18" s="45"/>
      <c r="T18" s="46"/>
      <c r="U18" s="44"/>
      <c r="V18" s="44"/>
      <c r="W18" s="44"/>
      <c r="X18" s="47"/>
      <c r="Y18" s="48"/>
      <c r="Z18" s="44"/>
      <c r="AA18" s="44"/>
      <c r="AB18" s="44"/>
      <c r="AC18" s="49"/>
    </row>
    <row r="19" spans="1:29" x14ac:dyDescent="0.3">
      <c r="A19" s="148"/>
      <c r="B19" s="151"/>
      <c r="C19" s="73" t="s">
        <v>40</v>
      </c>
      <c r="D19" s="9" t="s">
        <v>51</v>
      </c>
      <c r="E19" s="23"/>
      <c r="F19" s="24"/>
      <c r="G19" s="24"/>
      <c r="H19" s="24"/>
      <c r="I19" s="25"/>
      <c r="J19" s="26"/>
      <c r="K19" s="24"/>
      <c r="L19" s="24"/>
      <c r="M19" s="24"/>
      <c r="N19" s="27"/>
      <c r="O19" s="28"/>
      <c r="P19" s="24"/>
      <c r="Q19" s="24"/>
      <c r="R19" s="24"/>
      <c r="S19" s="25"/>
      <c r="T19" s="26"/>
      <c r="U19" s="24"/>
      <c r="V19" s="24"/>
      <c r="W19" s="24"/>
      <c r="X19" s="27"/>
      <c r="Y19" s="28"/>
      <c r="Z19" s="24"/>
      <c r="AA19" s="24"/>
      <c r="AB19" s="24"/>
      <c r="AC19" s="29"/>
    </row>
    <row r="20" spans="1:29" ht="36.6" thickBot="1" x14ac:dyDescent="0.35">
      <c r="A20" s="149"/>
      <c r="B20" s="152"/>
      <c r="C20" s="75" t="s">
        <v>41</v>
      </c>
      <c r="D20" s="11" t="s">
        <v>52</v>
      </c>
      <c r="E20" s="55"/>
      <c r="F20" s="56"/>
      <c r="G20" s="56"/>
      <c r="H20" s="56"/>
      <c r="I20" s="57"/>
      <c r="J20" s="58"/>
      <c r="K20" s="56"/>
      <c r="L20" s="56"/>
      <c r="M20" s="56"/>
      <c r="N20" s="59"/>
      <c r="O20" s="60"/>
      <c r="P20" s="56"/>
      <c r="Q20" s="56"/>
      <c r="R20" s="56"/>
      <c r="S20" s="57"/>
      <c r="T20" s="58"/>
      <c r="U20" s="56"/>
      <c r="V20" s="56"/>
      <c r="W20" s="56"/>
      <c r="X20" s="59"/>
      <c r="Y20" s="60"/>
      <c r="Z20" s="56"/>
      <c r="AA20" s="56"/>
      <c r="AB20" s="56"/>
      <c r="AC20" s="61"/>
    </row>
    <row r="21" spans="1:29" x14ac:dyDescent="0.3">
      <c r="A21" s="147">
        <f>Cronograma!A14</f>
        <v>6.4</v>
      </c>
      <c r="B21" s="150">
        <f>Cronograma!C14</f>
        <v>5</v>
      </c>
      <c r="C21" s="54">
        <f>A21</f>
        <v>6.4</v>
      </c>
      <c r="D21" s="8" t="str">
        <f>Cronograma!B14</f>
        <v>Proveedores externos</v>
      </c>
      <c r="E21" s="43"/>
      <c r="F21" s="44"/>
      <c r="G21" s="44"/>
      <c r="H21" s="44"/>
      <c r="I21" s="45"/>
      <c r="J21" s="46"/>
      <c r="K21" s="44"/>
      <c r="L21" s="44"/>
      <c r="M21" s="44"/>
      <c r="N21" s="47"/>
      <c r="O21" s="48"/>
      <c r="P21" s="44"/>
      <c r="Q21" s="44"/>
      <c r="R21" s="44"/>
      <c r="S21" s="45"/>
      <c r="T21" s="46"/>
      <c r="U21" s="44"/>
      <c r="V21" s="44"/>
      <c r="W21" s="44"/>
      <c r="X21" s="47"/>
      <c r="Y21" s="48"/>
      <c r="Z21" s="44"/>
      <c r="AA21" s="44"/>
      <c r="AB21" s="44"/>
      <c r="AC21" s="49"/>
    </row>
    <row r="22" spans="1:29" ht="36" x14ac:dyDescent="0.3">
      <c r="A22" s="148"/>
      <c r="B22" s="151"/>
      <c r="C22" s="73" t="s">
        <v>40</v>
      </c>
      <c r="D22" s="9" t="s">
        <v>68</v>
      </c>
      <c r="E22" s="23"/>
      <c r="F22" s="24"/>
      <c r="G22" s="24"/>
      <c r="H22" s="24"/>
      <c r="I22" s="25"/>
      <c r="J22" s="26"/>
      <c r="K22" s="24"/>
      <c r="L22" s="24"/>
      <c r="M22" s="24"/>
      <c r="N22" s="27"/>
      <c r="O22" s="28"/>
      <c r="P22" s="24"/>
      <c r="Q22" s="24"/>
      <c r="R22" s="24"/>
      <c r="S22" s="25"/>
      <c r="T22" s="26"/>
      <c r="U22" s="24"/>
      <c r="V22" s="24"/>
      <c r="W22" s="24"/>
      <c r="X22" s="27"/>
      <c r="Y22" s="28"/>
      <c r="Z22" s="24"/>
      <c r="AA22" s="24"/>
      <c r="AB22" s="24"/>
      <c r="AC22" s="29"/>
    </row>
    <row r="23" spans="1:29" ht="24.6" thickBot="1" x14ac:dyDescent="0.35">
      <c r="A23" s="149"/>
      <c r="B23" s="152"/>
      <c r="C23" s="75" t="s">
        <v>41</v>
      </c>
      <c r="D23" s="11" t="s">
        <v>82</v>
      </c>
      <c r="E23" s="55"/>
      <c r="F23" s="56"/>
      <c r="G23" s="56"/>
      <c r="H23" s="56"/>
      <c r="I23" s="57"/>
      <c r="J23" s="58"/>
      <c r="K23" s="56"/>
      <c r="L23" s="56"/>
      <c r="M23" s="56"/>
      <c r="N23" s="59"/>
      <c r="O23" s="60"/>
      <c r="P23" s="56"/>
      <c r="Q23" s="56"/>
      <c r="R23" s="56"/>
      <c r="S23" s="57"/>
      <c r="T23" s="58"/>
      <c r="U23" s="56"/>
      <c r="V23" s="56"/>
      <c r="W23" s="56"/>
      <c r="X23" s="59"/>
      <c r="Y23" s="60"/>
      <c r="Z23" s="56"/>
      <c r="AA23" s="56"/>
      <c r="AB23" s="56"/>
      <c r="AC23" s="61"/>
    </row>
  </sheetData>
  <sheetProtection selectLockedCells="1"/>
  <mergeCells count="17">
    <mergeCell ref="A18:A20"/>
    <mergeCell ref="B18:B20"/>
    <mergeCell ref="A21:A23"/>
    <mergeCell ref="B21:B23"/>
    <mergeCell ref="O1:S1"/>
    <mergeCell ref="T1:X1"/>
    <mergeCell ref="Y1:AC1"/>
    <mergeCell ref="A4:A10"/>
    <mergeCell ref="B4:B10"/>
    <mergeCell ref="A11:A17"/>
    <mergeCell ref="B11:B17"/>
    <mergeCell ref="A1:A2"/>
    <mergeCell ref="B1:B2"/>
    <mergeCell ref="C1:C2"/>
    <mergeCell ref="D1:D2"/>
    <mergeCell ref="E1:I1"/>
    <mergeCell ref="J1:N1"/>
  </mergeCells>
  <pageMargins left="0.23622047244094491" right="0.23622047244094491" top="0.74803149606299213" bottom="0.74803149606299213" header="0.31496062992125984" footer="0.31496062992125984"/>
  <pageSetup scale="55" orientation="landscape" r:id="rId1"/>
  <headerFooter>
    <oddHeader>&amp;L&amp;G&amp;CMETRyCAL Metrología y Calidad
www.metrycal.com&amp;RCronogramaAcreditacion17025</oddHeader>
    <oddFooter>Página &amp;P</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39997558519241921"/>
  </sheetPr>
  <dimension ref="A1:AC18"/>
  <sheetViews>
    <sheetView showGridLines="0" showRowColHeaders="0" zoomScale="160" zoomScaleNormal="160" workbookViewId="0">
      <pane xSplit="4" ySplit="2" topLeftCell="E3" activePane="bottomRight" state="frozen"/>
      <selection activeCell="D15" sqref="D15"/>
      <selection pane="topRight" activeCell="D15" sqref="D15"/>
      <selection pane="bottomLeft" activeCell="D15" sqref="D15"/>
      <selection pane="bottomRight" activeCell="D3" sqref="D3"/>
    </sheetView>
  </sheetViews>
  <sheetFormatPr baseColWidth="10" defaultColWidth="11.44140625" defaultRowHeight="12" x14ac:dyDescent="0.3"/>
  <cols>
    <col min="1" max="1" width="6.21875" style="6" customWidth="1"/>
    <col min="2" max="2" width="7.44140625" style="3" customWidth="1"/>
    <col min="3" max="3" width="6.21875" style="5" customWidth="1"/>
    <col min="4" max="4" width="59.44140625" style="2" customWidth="1"/>
    <col min="5" max="29" width="2.5546875" style="1" customWidth="1"/>
    <col min="30" max="16384" width="11.44140625" style="1"/>
  </cols>
  <sheetData>
    <row r="1" spans="1:29" s="4" customFormat="1" ht="28.5" customHeight="1" x14ac:dyDescent="0.3">
      <c r="A1" s="155" t="s">
        <v>18</v>
      </c>
      <c r="B1" s="157" t="s">
        <v>12</v>
      </c>
      <c r="C1" s="159" t="s">
        <v>39</v>
      </c>
      <c r="D1" s="161" t="s">
        <v>93</v>
      </c>
      <c r="E1" s="163" t="s">
        <v>13</v>
      </c>
      <c r="F1" s="153"/>
      <c r="G1" s="153"/>
      <c r="H1" s="153"/>
      <c r="I1" s="153"/>
      <c r="J1" s="153" t="s">
        <v>14</v>
      </c>
      <c r="K1" s="153"/>
      <c r="L1" s="153"/>
      <c r="M1" s="153"/>
      <c r="N1" s="153"/>
      <c r="O1" s="153" t="s">
        <v>15</v>
      </c>
      <c r="P1" s="153"/>
      <c r="Q1" s="153"/>
      <c r="R1" s="153"/>
      <c r="S1" s="153"/>
      <c r="T1" s="153" t="s">
        <v>16</v>
      </c>
      <c r="U1" s="153"/>
      <c r="V1" s="153"/>
      <c r="W1" s="153"/>
      <c r="X1" s="153"/>
      <c r="Y1" s="153" t="s">
        <v>17</v>
      </c>
      <c r="Z1" s="153"/>
      <c r="AA1" s="153"/>
      <c r="AB1" s="153"/>
      <c r="AC1" s="154"/>
    </row>
    <row r="2" spans="1:29" s="4" customFormat="1" ht="10.5" customHeight="1" thickBot="1" x14ac:dyDescent="0.35">
      <c r="A2" s="156"/>
      <c r="B2" s="158"/>
      <c r="C2" s="160"/>
      <c r="D2" s="162"/>
      <c r="E2" s="78">
        <v>1</v>
      </c>
      <c r="F2" s="79">
        <v>2</v>
      </c>
      <c r="G2" s="79">
        <v>3</v>
      </c>
      <c r="H2" s="79">
        <v>4</v>
      </c>
      <c r="I2" s="79">
        <v>5</v>
      </c>
      <c r="J2" s="79">
        <v>1</v>
      </c>
      <c r="K2" s="79">
        <v>2</v>
      </c>
      <c r="L2" s="79">
        <v>3</v>
      </c>
      <c r="M2" s="79">
        <v>4</v>
      </c>
      <c r="N2" s="79">
        <v>5</v>
      </c>
      <c r="O2" s="79">
        <v>1</v>
      </c>
      <c r="P2" s="79">
        <v>2</v>
      </c>
      <c r="Q2" s="79">
        <v>3</v>
      </c>
      <c r="R2" s="79">
        <v>4</v>
      </c>
      <c r="S2" s="79">
        <v>5</v>
      </c>
      <c r="T2" s="79">
        <v>1</v>
      </c>
      <c r="U2" s="79">
        <v>2</v>
      </c>
      <c r="V2" s="79">
        <v>3</v>
      </c>
      <c r="W2" s="79">
        <v>4</v>
      </c>
      <c r="X2" s="79">
        <v>5</v>
      </c>
      <c r="Y2" s="79">
        <v>1</v>
      </c>
      <c r="Z2" s="79">
        <v>2</v>
      </c>
      <c r="AA2" s="79">
        <v>3</v>
      </c>
      <c r="AB2" s="79">
        <v>4</v>
      </c>
      <c r="AC2" s="80">
        <v>5</v>
      </c>
    </row>
    <row r="3" spans="1:29" s="4" customFormat="1" ht="12.75" customHeight="1" thickBot="1" x14ac:dyDescent="0.35">
      <c r="A3" s="81"/>
      <c r="B3" s="82"/>
      <c r="C3" s="82"/>
      <c r="D3" s="86" t="str">
        <f>Cronograma!B15</f>
        <v>7. CONFIRMACIÓN METROLÓGICA Y REALIZACIÓN DE LOS PROCESOS DE MEDICIÓN</v>
      </c>
      <c r="E3" s="83"/>
      <c r="F3" s="84"/>
      <c r="G3" s="84"/>
      <c r="H3" s="84"/>
      <c r="I3" s="84"/>
      <c r="J3" s="84"/>
      <c r="K3" s="84"/>
      <c r="L3" s="84"/>
      <c r="M3" s="84"/>
      <c r="N3" s="84"/>
      <c r="O3" s="84"/>
      <c r="P3" s="84"/>
      <c r="Q3" s="84"/>
      <c r="R3" s="84"/>
      <c r="S3" s="84"/>
      <c r="T3" s="84"/>
      <c r="U3" s="84"/>
      <c r="V3" s="84"/>
      <c r="W3" s="84"/>
      <c r="X3" s="84"/>
      <c r="Y3" s="84"/>
      <c r="Z3" s="84"/>
      <c r="AA3" s="84"/>
      <c r="AB3" s="84"/>
      <c r="AC3" s="85"/>
    </row>
    <row r="4" spans="1:29" x14ac:dyDescent="0.3">
      <c r="A4" s="147">
        <f>Cronograma!A16</f>
        <v>7.1</v>
      </c>
      <c r="B4" s="150">
        <f>Cronograma!C16</f>
        <v>20</v>
      </c>
      <c r="C4" s="54">
        <f>A4</f>
        <v>7.1</v>
      </c>
      <c r="D4" s="8" t="str">
        <f>Cronograma!B16</f>
        <v>Confirmación metrológica</v>
      </c>
      <c r="E4" s="43"/>
      <c r="F4" s="44"/>
      <c r="G4" s="44"/>
      <c r="H4" s="44"/>
      <c r="I4" s="45"/>
      <c r="J4" s="46"/>
      <c r="K4" s="44"/>
      <c r="L4" s="44"/>
      <c r="M4" s="44"/>
      <c r="N4" s="47"/>
      <c r="O4" s="48"/>
      <c r="P4" s="44"/>
      <c r="Q4" s="44"/>
      <c r="R4" s="44"/>
      <c r="S4" s="45"/>
      <c r="T4" s="46"/>
      <c r="U4" s="44"/>
      <c r="V4" s="44"/>
      <c r="W4" s="44"/>
      <c r="X4" s="47"/>
      <c r="Y4" s="48"/>
      <c r="Z4" s="44"/>
      <c r="AA4" s="44"/>
      <c r="AB4" s="44"/>
      <c r="AC4" s="49"/>
    </row>
    <row r="5" spans="1:29" ht="58.95" customHeight="1" x14ac:dyDescent="0.3">
      <c r="A5" s="148"/>
      <c r="B5" s="151"/>
      <c r="C5" s="73" t="s">
        <v>40</v>
      </c>
      <c r="D5" s="9" t="s">
        <v>69</v>
      </c>
      <c r="E5" s="23"/>
      <c r="F5" s="24"/>
      <c r="G5" s="24"/>
      <c r="H5" s="24"/>
      <c r="I5" s="25"/>
      <c r="J5" s="26"/>
      <c r="K5" s="24"/>
      <c r="L5" s="24"/>
      <c r="M5" s="24"/>
      <c r="N5" s="27"/>
      <c r="O5" s="28"/>
      <c r="P5" s="24"/>
      <c r="Q5" s="24"/>
      <c r="R5" s="24"/>
      <c r="S5" s="25"/>
      <c r="T5" s="26"/>
      <c r="U5" s="24"/>
      <c r="V5" s="24"/>
      <c r="W5" s="24"/>
      <c r="X5" s="27"/>
      <c r="Y5" s="28"/>
      <c r="Z5" s="24"/>
      <c r="AA5" s="24"/>
      <c r="AB5" s="24"/>
      <c r="AC5" s="29"/>
    </row>
    <row r="6" spans="1:29" ht="24" x14ac:dyDescent="0.3">
      <c r="A6" s="148"/>
      <c r="B6" s="151"/>
      <c r="C6" s="71" t="s">
        <v>41</v>
      </c>
      <c r="D6" s="10" t="s">
        <v>83</v>
      </c>
      <c r="E6" s="30"/>
      <c r="F6" s="31"/>
      <c r="G6" s="31"/>
      <c r="H6" s="31"/>
      <c r="I6" s="32"/>
      <c r="J6" s="33"/>
      <c r="K6" s="31"/>
      <c r="L6" s="31"/>
      <c r="M6" s="31"/>
      <c r="N6" s="34"/>
      <c r="O6" s="35"/>
      <c r="P6" s="31"/>
      <c r="Q6" s="31"/>
      <c r="R6" s="31"/>
      <c r="S6" s="32"/>
      <c r="T6" s="33"/>
      <c r="U6" s="31"/>
      <c r="V6" s="31"/>
      <c r="W6" s="31"/>
      <c r="X6" s="34"/>
      <c r="Y6" s="35"/>
      <c r="Z6" s="31"/>
      <c r="AA6" s="31"/>
      <c r="AB6" s="31"/>
      <c r="AC6" s="36"/>
    </row>
    <row r="7" spans="1:29" ht="36" x14ac:dyDescent="0.3">
      <c r="A7" s="164"/>
      <c r="B7" s="165"/>
      <c r="C7" s="72" t="s">
        <v>42</v>
      </c>
      <c r="D7" s="104" t="s">
        <v>84</v>
      </c>
      <c r="E7" s="105"/>
      <c r="F7" s="106"/>
      <c r="G7" s="106"/>
      <c r="H7" s="106"/>
      <c r="I7" s="107"/>
      <c r="J7" s="108"/>
      <c r="K7" s="106"/>
      <c r="L7" s="106"/>
      <c r="M7" s="106"/>
      <c r="N7" s="109"/>
      <c r="O7" s="110"/>
      <c r="P7" s="106"/>
      <c r="Q7" s="106"/>
      <c r="R7" s="106"/>
      <c r="S7" s="107"/>
      <c r="T7" s="108"/>
      <c r="U7" s="106"/>
      <c r="V7" s="106"/>
      <c r="W7" s="106"/>
      <c r="X7" s="109"/>
      <c r="Y7" s="110"/>
      <c r="Z7" s="106"/>
      <c r="AA7" s="106"/>
      <c r="AB7" s="106"/>
      <c r="AC7" s="111"/>
    </row>
    <row r="8" spans="1:29" ht="48" x14ac:dyDescent="0.3">
      <c r="A8" s="164"/>
      <c r="B8" s="165"/>
      <c r="C8" s="72" t="s">
        <v>46</v>
      </c>
      <c r="D8" s="104" t="s">
        <v>85</v>
      </c>
      <c r="E8" s="105"/>
      <c r="F8" s="106"/>
      <c r="G8" s="106"/>
      <c r="H8" s="106"/>
      <c r="I8" s="107"/>
      <c r="J8" s="108"/>
      <c r="K8" s="106"/>
      <c r="L8" s="106"/>
      <c r="M8" s="106"/>
      <c r="N8" s="109"/>
      <c r="O8" s="110"/>
      <c r="P8" s="106"/>
      <c r="Q8" s="106"/>
      <c r="R8" s="106"/>
      <c r="S8" s="107"/>
      <c r="T8" s="108"/>
      <c r="U8" s="106"/>
      <c r="V8" s="106"/>
      <c r="W8" s="106"/>
      <c r="X8" s="109"/>
      <c r="Y8" s="110"/>
      <c r="Z8" s="106"/>
      <c r="AA8" s="106"/>
      <c r="AB8" s="106"/>
      <c r="AC8" s="111"/>
    </row>
    <row r="9" spans="1:29" ht="24.6" thickBot="1" x14ac:dyDescent="0.35">
      <c r="A9" s="149"/>
      <c r="B9" s="152"/>
      <c r="C9" s="75" t="s">
        <v>47</v>
      </c>
      <c r="D9" s="11" t="s">
        <v>53</v>
      </c>
      <c r="E9" s="55"/>
      <c r="F9" s="56"/>
      <c r="G9" s="56"/>
      <c r="H9" s="56"/>
      <c r="I9" s="57"/>
      <c r="J9" s="58"/>
      <c r="K9" s="56"/>
      <c r="L9" s="56"/>
      <c r="M9" s="56"/>
      <c r="N9" s="59"/>
      <c r="O9" s="60"/>
      <c r="P9" s="56"/>
      <c r="Q9" s="56"/>
      <c r="R9" s="56"/>
      <c r="S9" s="57"/>
      <c r="T9" s="58"/>
      <c r="U9" s="56"/>
      <c r="V9" s="56"/>
      <c r="W9" s="56"/>
      <c r="X9" s="59"/>
      <c r="Y9" s="60"/>
      <c r="Z9" s="56"/>
      <c r="AA9" s="56"/>
      <c r="AB9" s="56"/>
      <c r="AC9" s="61"/>
    </row>
    <row r="10" spans="1:29" x14ac:dyDescent="0.3">
      <c r="A10" s="147">
        <f>Cronograma!A17</f>
        <v>7.2</v>
      </c>
      <c r="B10" s="150">
        <f>Cronograma!C17</f>
        <v>20</v>
      </c>
      <c r="C10" s="54">
        <f>A10</f>
        <v>7.2</v>
      </c>
      <c r="D10" s="8" t="str">
        <f>Cronograma!B17</f>
        <v>Proceso de medición</v>
      </c>
      <c r="E10" s="43"/>
      <c r="F10" s="44"/>
      <c r="G10" s="44"/>
      <c r="H10" s="44"/>
      <c r="I10" s="45"/>
      <c r="J10" s="46"/>
      <c r="K10" s="44"/>
      <c r="L10" s="44"/>
      <c r="M10" s="44"/>
      <c r="N10" s="47"/>
      <c r="O10" s="48"/>
      <c r="P10" s="44"/>
      <c r="Q10" s="44"/>
      <c r="R10" s="44"/>
      <c r="S10" s="45"/>
      <c r="T10" s="46"/>
      <c r="U10" s="44"/>
      <c r="V10" s="44"/>
      <c r="W10" s="44"/>
      <c r="X10" s="47"/>
      <c r="Y10" s="48"/>
      <c r="Z10" s="44"/>
      <c r="AA10" s="44"/>
      <c r="AB10" s="44"/>
      <c r="AC10" s="49"/>
    </row>
    <row r="11" spans="1:29" ht="48" x14ac:dyDescent="0.3">
      <c r="A11" s="166"/>
      <c r="B11" s="167"/>
      <c r="C11" s="120" t="s">
        <v>40</v>
      </c>
      <c r="D11" s="7" t="s">
        <v>86</v>
      </c>
      <c r="E11" s="112"/>
      <c r="F11" s="113"/>
      <c r="G11" s="113"/>
      <c r="H11" s="113"/>
      <c r="I11" s="114"/>
      <c r="J11" s="115"/>
      <c r="K11" s="113"/>
      <c r="L11" s="113"/>
      <c r="M11" s="113"/>
      <c r="N11" s="116"/>
      <c r="O11" s="117"/>
      <c r="P11" s="113"/>
      <c r="Q11" s="113"/>
      <c r="R11" s="113"/>
      <c r="S11" s="114"/>
      <c r="T11" s="115"/>
      <c r="U11" s="113"/>
      <c r="V11" s="113"/>
      <c r="W11" s="113"/>
      <c r="X11" s="116"/>
      <c r="Y11" s="117"/>
      <c r="Z11" s="113"/>
      <c r="AA11" s="113"/>
      <c r="AB11" s="113"/>
      <c r="AC11" s="118"/>
    </row>
    <row r="12" spans="1:29" ht="24" x14ac:dyDescent="0.3">
      <c r="A12" s="166"/>
      <c r="B12" s="167"/>
      <c r="C12" s="120" t="s">
        <v>41</v>
      </c>
      <c r="D12" s="7" t="s">
        <v>87</v>
      </c>
      <c r="E12" s="112"/>
      <c r="F12" s="113"/>
      <c r="G12" s="113"/>
      <c r="H12" s="113"/>
      <c r="I12" s="114"/>
      <c r="J12" s="115"/>
      <c r="K12" s="113"/>
      <c r="L12" s="113"/>
      <c r="M12" s="113"/>
      <c r="N12" s="116"/>
      <c r="O12" s="117"/>
      <c r="P12" s="113"/>
      <c r="Q12" s="113"/>
      <c r="R12" s="113"/>
      <c r="S12" s="114"/>
      <c r="T12" s="115"/>
      <c r="U12" s="113"/>
      <c r="V12" s="113"/>
      <c r="W12" s="113"/>
      <c r="X12" s="116"/>
      <c r="Y12" s="117"/>
      <c r="Z12" s="113"/>
      <c r="AA12" s="113"/>
      <c r="AB12" s="113"/>
      <c r="AC12" s="118"/>
    </row>
    <row r="13" spans="1:29" ht="24" x14ac:dyDescent="0.3">
      <c r="A13" s="166"/>
      <c r="B13" s="167"/>
      <c r="C13" s="120" t="s">
        <v>42</v>
      </c>
      <c r="D13" s="7" t="s">
        <v>57</v>
      </c>
      <c r="E13" s="112"/>
      <c r="F13" s="113"/>
      <c r="G13" s="113"/>
      <c r="H13" s="113"/>
      <c r="I13" s="114"/>
      <c r="J13" s="115"/>
      <c r="K13" s="113"/>
      <c r="L13" s="113"/>
      <c r="M13" s="113"/>
      <c r="N13" s="116"/>
      <c r="O13" s="117"/>
      <c r="P13" s="113"/>
      <c r="Q13" s="113"/>
      <c r="R13" s="113"/>
      <c r="S13" s="114"/>
      <c r="T13" s="115"/>
      <c r="U13" s="113"/>
      <c r="V13" s="113"/>
      <c r="W13" s="113"/>
      <c r="X13" s="116"/>
      <c r="Y13" s="117"/>
      <c r="Z13" s="113"/>
      <c r="AA13" s="113"/>
      <c r="AB13" s="113"/>
      <c r="AC13" s="118"/>
    </row>
    <row r="14" spans="1:29" ht="36.6" thickBot="1" x14ac:dyDescent="0.35">
      <c r="A14" s="149"/>
      <c r="B14" s="152"/>
      <c r="C14" s="76" t="s">
        <v>46</v>
      </c>
      <c r="D14" s="103" t="s">
        <v>88</v>
      </c>
      <c r="E14" s="64"/>
      <c r="F14" s="65"/>
      <c r="G14" s="65"/>
      <c r="H14" s="65"/>
      <c r="I14" s="66"/>
      <c r="J14" s="67"/>
      <c r="K14" s="65"/>
      <c r="L14" s="65"/>
      <c r="M14" s="65"/>
      <c r="N14" s="68"/>
      <c r="O14" s="69"/>
      <c r="P14" s="65"/>
      <c r="Q14" s="65"/>
      <c r="R14" s="65"/>
      <c r="S14" s="66"/>
      <c r="T14" s="67"/>
      <c r="U14" s="65"/>
      <c r="V14" s="65"/>
      <c r="W14" s="65"/>
      <c r="X14" s="68"/>
      <c r="Y14" s="69"/>
      <c r="Z14" s="65"/>
      <c r="AA14" s="65"/>
      <c r="AB14" s="65"/>
      <c r="AC14" s="70"/>
    </row>
    <row r="15" spans="1:29" x14ac:dyDescent="0.3">
      <c r="A15" s="147">
        <f>Cronograma!A18</f>
        <v>7.3</v>
      </c>
      <c r="B15" s="150">
        <f>Cronograma!C18</f>
        <v>15</v>
      </c>
      <c r="C15" s="54">
        <f>A15</f>
        <v>7.3</v>
      </c>
      <c r="D15" s="8" t="str">
        <f>Cronograma!B18</f>
        <v>Incertidumbre de medición y trazabilidad metrológica</v>
      </c>
      <c r="E15" s="43"/>
      <c r="F15" s="44"/>
      <c r="G15" s="44"/>
      <c r="H15" s="44"/>
      <c r="I15" s="45"/>
      <c r="J15" s="46"/>
      <c r="K15" s="44"/>
      <c r="L15" s="44"/>
      <c r="M15" s="44"/>
      <c r="N15" s="47"/>
      <c r="O15" s="48"/>
      <c r="P15" s="44"/>
      <c r="Q15" s="44"/>
      <c r="R15" s="44"/>
      <c r="S15" s="45"/>
      <c r="T15" s="46"/>
      <c r="U15" s="44"/>
      <c r="V15" s="44"/>
      <c r="W15" s="44"/>
      <c r="X15" s="47"/>
      <c r="Y15" s="48"/>
      <c r="Z15" s="44"/>
      <c r="AA15" s="44"/>
      <c r="AB15" s="44"/>
      <c r="AC15" s="49"/>
    </row>
    <row r="16" spans="1:29" ht="24" x14ac:dyDescent="0.3">
      <c r="A16" s="148"/>
      <c r="B16" s="151"/>
      <c r="C16" s="73" t="s">
        <v>40</v>
      </c>
      <c r="D16" s="9" t="s">
        <v>89</v>
      </c>
      <c r="E16" s="23"/>
      <c r="F16" s="24"/>
      <c r="G16" s="24"/>
      <c r="H16" s="24"/>
      <c r="I16" s="25"/>
      <c r="J16" s="26"/>
      <c r="K16" s="24"/>
      <c r="L16" s="24"/>
      <c r="M16" s="24"/>
      <c r="N16" s="27"/>
      <c r="O16" s="28"/>
      <c r="P16" s="24"/>
      <c r="Q16" s="24"/>
      <c r="R16" s="24"/>
      <c r="S16" s="25"/>
      <c r="T16" s="26"/>
      <c r="U16" s="24"/>
      <c r="V16" s="24"/>
      <c r="W16" s="24"/>
      <c r="X16" s="27"/>
      <c r="Y16" s="28"/>
      <c r="Z16" s="24"/>
      <c r="AA16" s="24"/>
      <c r="AB16" s="24"/>
      <c r="AC16" s="29"/>
    </row>
    <row r="17" spans="1:29" ht="24" x14ac:dyDescent="0.3">
      <c r="A17" s="164"/>
      <c r="B17" s="165"/>
      <c r="C17" s="74" t="s">
        <v>41</v>
      </c>
      <c r="D17" s="119" t="s">
        <v>58</v>
      </c>
      <c r="E17" s="112"/>
      <c r="F17" s="113"/>
      <c r="G17" s="113"/>
      <c r="H17" s="113"/>
      <c r="I17" s="114"/>
      <c r="J17" s="115"/>
      <c r="K17" s="113"/>
      <c r="L17" s="113"/>
      <c r="M17" s="113"/>
      <c r="N17" s="116"/>
      <c r="O17" s="117"/>
      <c r="P17" s="113"/>
      <c r="Q17" s="113"/>
      <c r="R17" s="113"/>
      <c r="S17" s="114"/>
      <c r="T17" s="115"/>
      <c r="U17" s="113"/>
      <c r="V17" s="113"/>
      <c r="W17" s="113"/>
      <c r="X17" s="116"/>
      <c r="Y17" s="117"/>
      <c r="Z17" s="113"/>
      <c r="AA17" s="113"/>
      <c r="AB17" s="113"/>
      <c r="AC17" s="118"/>
    </row>
    <row r="18" spans="1:29" ht="24.6" thickBot="1" x14ac:dyDescent="0.35">
      <c r="A18" s="149"/>
      <c r="B18" s="152"/>
      <c r="C18" s="75" t="s">
        <v>42</v>
      </c>
      <c r="D18" s="11" t="s">
        <v>70</v>
      </c>
      <c r="E18" s="55"/>
      <c r="F18" s="56"/>
      <c r="G18" s="56"/>
      <c r="H18" s="56"/>
      <c r="I18" s="57"/>
      <c r="J18" s="58"/>
      <c r="K18" s="56"/>
      <c r="L18" s="56"/>
      <c r="M18" s="56"/>
      <c r="N18" s="59"/>
      <c r="O18" s="60"/>
      <c r="P18" s="56"/>
      <c r="Q18" s="56"/>
      <c r="R18" s="56"/>
      <c r="S18" s="57"/>
      <c r="T18" s="58"/>
      <c r="U18" s="56"/>
      <c r="V18" s="56"/>
      <c r="W18" s="56"/>
      <c r="X18" s="59"/>
      <c r="Y18" s="60"/>
      <c r="Z18" s="56"/>
      <c r="AA18" s="56"/>
      <c r="AB18" s="56"/>
      <c r="AC18" s="61"/>
    </row>
  </sheetData>
  <sheetProtection selectLockedCells="1"/>
  <mergeCells count="15">
    <mergeCell ref="A15:A18"/>
    <mergeCell ref="B15:B18"/>
    <mergeCell ref="O1:S1"/>
    <mergeCell ref="T1:X1"/>
    <mergeCell ref="Y1:AC1"/>
    <mergeCell ref="A4:A9"/>
    <mergeCell ref="B4:B9"/>
    <mergeCell ref="A10:A14"/>
    <mergeCell ref="B10:B14"/>
    <mergeCell ref="A1:A2"/>
    <mergeCell ref="B1:B2"/>
    <mergeCell ref="C1:C2"/>
    <mergeCell ref="D1:D2"/>
    <mergeCell ref="E1:I1"/>
    <mergeCell ref="J1:N1"/>
  </mergeCells>
  <pageMargins left="0.23622047244094491" right="0.23622047244094491" top="0.74803149606299213" bottom="0.74803149606299213" header="0.31496062992125984" footer="0.31496062992125984"/>
  <pageSetup scale="55" orientation="landscape" r:id="rId1"/>
  <headerFooter>
    <oddHeader>&amp;L&amp;G&amp;CMETRyCAL Metrología y Calidad
www.metrycal.com&amp;RCronogramaAcreditacion17025</oddHeader>
    <oddFooter>Página &amp;P</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tint="0.39997558519241921"/>
  </sheetPr>
  <dimension ref="A1:AC16"/>
  <sheetViews>
    <sheetView showGridLines="0" showRowColHeaders="0" zoomScale="160" zoomScaleNormal="160" workbookViewId="0">
      <pane xSplit="4" ySplit="2" topLeftCell="E3" activePane="bottomRight" state="frozen"/>
      <selection activeCell="D15" sqref="D15"/>
      <selection pane="topRight" activeCell="D15" sqref="D15"/>
      <selection pane="bottomLeft" activeCell="D15" sqref="D15"/>
      <selection pane="bottomRight" activeCell="D12" sqref="D12"/>
    </sheetView>
  </sheetViews>
  <sheetFormatPr baseColWidth="10" defaultColWidth="11.44140625" defaultRowHeight="12" x14ac:dyDescent="0.3"/>
  <cols>
    <col min="1" max="1" width="6.21875" style="6" customWidth="1"/>
    <col min="2" max="2" width="7.44140625" style="3" customWidth="1"/>
    <col min="3" max="3" width="6.21875" style="5" customWidth="1"/>
    <col min="4" max="4" width="59.44140625" style="2" customWidth="1"/>
    <col min="5" max="29" width="2.5546875" style="1" customWidth="1"/>
    <col min="30" max="16384" width="11.44140625" style="1"/>
  </cols>
  <sheetData>
    <row r="1" spans="1:29" s="4" customFormat="1" ht="28.5" customHeight="1" x14ac:dyDescent="0.3">
      <c r="A1" s="155" t="s">
        <v>18</v>
      </c>
      <c r="B1" s="157" t="s">
        <v>12</v>
      </c>
      <c r="C1" s="159" t="s">
        <v>39</v>
      </c>
      <c r="D1" s="161" t="s">
        <v>92</v>
      </c>
      <c r="E1" s="163" t="s">
        <v>13</v>
      </c>
      <c r="F1" s="153"/>
      <c r="G1" s="153"/>
      <c r="H1" s="153"/>
      <c r="I1" s="153"/>
      <c r="J1" s="153" t="s">
        <v>14</v>
      </c>
      <c r="K1" s="153"/>
      <c r="L1" s="153"/>
      <c r="M1" s="153"/>
      <c r="N1" s="153"/>
      <c r="O1" s="153" t="s">
        <v>15</v>
      </c>
      <c r="P1" s="153"/>
      <c r="Q1" s="153"/>
      <c r="R1" s="153"/>
      <c r="S1" s="153"/>
      <c r="T1" s="153" t="s">
        <v>16</v>
      </c>
      <c r="U1" s="153"/>
      <c r="V1" s="153"/>
      <c r="W1" s="153"/>
      <c r="X1" s="153"/>
      <c r="Y1" s="153" t="s">
        <v>17</v>
      </c>
      <c r="Z1" s="153"/>
      <c r="AA1" s="153"/>
      <c r="AB1" s="153"/>
      <c r="AC1" s="154"/>
    </row>
    <row r="2" spans="1:29" s="4" customFormat="1" ht="10.5" customHeight="1" thickBot="1" x14ac:dyDescent="0.35">
      <c r="A2" s="156"/>
      <c r="B2" s="158"/>
      <c r="C2" s="160"/>
      <c r="D2" s="162"/>
      <c r="E2" s="78">
        <v>1</v>
      </c>
      <c r="F2" s="79">
        <v>2</v>
      </c>
      <c r="G2" s="79">
        <v>3</v>
      </c>
      <c r="H2" s="79">
        <v>4</v>
      </c>
      <c r="I2" s="79">
        <v>5</v>
      </c>
      <c r="J2" s="79">
        <v>1</v>
      </c>
      <c r="K2" s="79">
        <v>2</v>
      </c>
      <c r="L2" s="79">
        <v>3</v>
      </c>
      <c r="M2" s="79">
        <v>4</v>
      </c>
      <c r="N2" s="79">
        <v>5</v>
      </c>
      <c r="O2" s="79">
        <v>1</v>
      </c>
      <c r="P2" s="79">
        <v>2</v>
      </c>
      <c r="Q2" s="79">
        <v>3</v>
      </c>
      <c r="R2" s="79">
        <v>4</v>
      </c>
      <c r="S2" s="79">
        <v>5</v>
      </c>
      <c r="T2" s="79">
        <v>1</v>
      </c>
      <c r="U2" s="79">
        <v>2</v>
      </c>
      <c r="V2" s="79">
        <v>3</v>
      </c>
      <c r="W2" s="79">
        <v>4</v>
      </c>
      <c r="X2" s="79">
        <v>5</v>
      </c>
      <c r="Y2" s="79">
        <v>1</v>
      </c>
      <c r="Z2" s="79">
        <v>2</v>
      </c>
      <c r="AA2" s="79">
        <v>3</v>
      </c>
      <c r="AB2" s="79">
        <v>4</v>
      </c>
      <c r="AC2" s="80">
        <v>5</v>
      </c>
    </row>
    <row r="3" spans="1:29" s="4" customFormat="1" ht="12.75" customHeight="1" thickBot="1" x14ac:dyDescent="0.35">
      <c r="A3" s="81"/>
      <c r="B3" s="82"/>
      <c r="C3" s="82"/>
      <c r="D3" s="86" t="str">
        <f>Cronograma!B19</f>
        <v>8. ANÁLISIS Y MEJORA DEL SGM</v>
      </c>
      <c r="E3" s="83"/>
      <c r="F3" s="84"/>
      <c r="G3" s="84"/>
      <c r="H3" s="84"/>
      <c r="I3" s="84"/>
      <c r="J3" s="84"/>
      <c r="K3" s="84"/>
      <c r="L3" s="84"/>
      <c r="M3" s="84"/>
      <c r="N3" s="84"/>
      <c r="O3" s="84"/>
      <c r="P3" s="84"/>
      <c r="Q3" s="84"/>
      <c r="R3" s="84"/>
      <c r="S3" s="84"/>
      <c r="T3" s="84"/>
      <c r="U3" s="84"/>
      <c r="V3" s="84"/>
      <c r="W3" s="84"/>
      <c r="X3" s="84"/>
      <c r="Y3" s="84"/>
      <c r="Z3" s="84"/>
      <c r="AA3" s="84"/>
      <c r="AB3" s="84"/>
      <c r="AC3" s="85"/>
    </row>
    <row r="4" spans="1:29" x14ac:dyDescent="0.3">
      <c r="A4" s="147">
        <f>Cronograma!A20</f>
        <v>8.1</v>
      </c>
      <c r="B4" s="150">
        <f>Cronograma!C20</f>
        <v>0</v>
      </c>
      <c r="C4" s="54">
        <f>A4</f>
        <v>8.1</v>
      </c>
      <c r="D4" s="8" t="str">
        <f>Cronograma!B20</f>
        <v>Generalidades</v>
      </c>
      <c r="E4" s="43"/>
      <c r="F4" s="44"/>
      <c r="G4" s="44"/>
      <c r="H4" s="44"/>
      <c r="I4" s="45"/>
      <c r="J4" s="46"/>
      <c r="K4" s="44"/>
      <c r="L4" s="44"/>
      <c r="M4" s="44"/>
      <c r="N4" s="47"/>
      <c r="O4" s="48"/>
      <c r="P4" s="44"/>
      <c r="Q4" s="44"/>
      <c r="R4" s="44"/>
      <c r="S4" s="45"/>
      <c r="T4" s="46"/>
      <c r="U4" s="44"/>
      <c r="V4" s="44"/>
      <c r="W4" s="44"/>
      <c r="X4" s="47"/>
      <c r="Y4" s="48"/>
      <c r="Z4" s="44"/>
      <c r="AA4" s="44"/>
      <c r="AB4" s="44"/>
      <c r="AC4" s="49"/>
    </row>
    <row r="5" spans="1:29" ht="12.6" thickBot="1" x14ac:dyDescent="0.35">
      <c r="A5" s="149"/>
      <c r="B5" s="152"/>
      <c r="C5" s="75" t="s">
        <v>40</v>
      </c>
      <c r="D5" s="11" t="s">
        <v>61</v>
      </c>
      <c r="E5" s="55"/>
      <c r="F5" s="56"/>
      <c r="G5" s="56"/>
      <c r="H5" s="56"/>
      <c r="I5" s="57"/>
      <c r="J5" s="58"/>
      <c r="K5" s="56"/>
      <c r="L5" s="56"/>
      <c r="M5" s="56"/>
      <c r="N5" s="59"/>
      <c r="O5" s="60"/>
      <c r="P5" s="56"/>
      <c r="Q5" s="56"/>
      <c r="R5" s="56"/>
      <c r="S5" s="57"/>
      <c r="T5" s="58"/>
      <c r="U5" s="56"/>
      <c r="V5" s="56"/>
      <c r="W5" s="56"/>
      <c r="X5" s="59"/>
      <c r="Y5" s="60"/>
      <c r="Z5" s="56"/>
      <c r="AA5" s="56"/>
      <c r="AB5" s="56"/>
      <c r="AC5" s="61"/>
    </row>
    <row r="6" spans="1:29" x14ac:dyDescent="0.3">
      <c r="A6" s="147">
        <f>Cronograma!A21</f>
        <v>8.1999999999999993</v>
      </c>
      <c r="B6" s="150">
        <f>Cronograma!C21</f>
        <v>5</v>
      </c>
      <c r="C6" s="54">
        <f>A6</f>
        <v>8.1999999999999993</v>
      </c>
      <c r="D6" s="8" t="str">
        <f>Cronograma!B21</f>
        <v>Auditoría y seguimiento</v>
      </c>
      <c r="E6" s="43"/>
      <c r="F6" s="44"/>
      <c r="G6" s="44"/>
      <c r="H6" s="44"/>
      <c r="I6" s="45"/>
      <c r="J6" s="46"/>
      <c r="K6" s="44"/>
      <c r="L6" s="44"/>
      <c r="M6" s="44"/>
      <c r="N6" s="47"/>
      <c r="O6" s="48"/>
      <c r="P6" s="44"/>
      <c r="Q6" s="44"/>
      <c r="R6" s="44"/>
      <c r="S6" s="45"/>
      <c r="T6" s="46"/>
      <c r="U6" s="44"/>
      <c r="V6" s="44"/>
      <c r="W6" s="44"/>
      <c r="X6" s="47"/>
      <c r="Y6" s="48"/>
      <c r="Z6" s="44"/>
      <c r="AA6" s="44"/>
      <c r="AB6" s="44"/>
      <c r="AC6" s="49"/>
    </row>
    <row r="7" spans="1:29" ht="24" x14ac:dyDescent="0.3">
      <c r="A7" s="166"/>
      <c r="B7" s="167"/>
      <c r="C7" s="120" t="s">
        <v>40</v>
      </c>
      <c r="D7" s="7" t="s">
        <v>90</v>
      </c>
      <c r="E7" s="112"/>
      <c r="F7" s="113"/>
      <c r="G7" s="113"/>
      <c r="H7" s="113"/>
      <c r="I7" s="114"/>
      <c r="J7" s="115"/>
      <c r="K7" s="113"/>
      <c r="L7" s="113"/>
      <c r="M7" s="113"/>
      <c r="N7" s="116"/>
      <c r="O7" s="117"/>
      <c r="P7" s="113"/>
      <c r="Q7" s="113"/>
      <c r="R7" s="113"/>
      <c r="S7" s="114"/>
      <c r="T7" s="115"/>
      <c r="U7" s="113"/>
      <c r="V7" s="113"/>
      <c r="W7" s="113"/>
      <c r="X7" s="116"/>
      <c r="Y7" s="117"/>
      <c r="Z7" s="113"/>
      <c r="AA7" s="113"/>
      <c r="AB7" s="113"/>
      <c r="AC7" s="118"/>
    </row>
    <row r="8" spans="1:29" ht="36.6" thickBot="1" x14ac:dyDescent="0.35">
      <c r="A8" s="149"/>
      <c r="B8" s="152"/>
      <c r="C8" s="76" t="s">
        <v>41</v>
      </c>
      <c r="D8" s="103" t="s">
        <v>59</v>
      </c>
      <c r="E8" s="64"/>
      <c r="F8" s="65"/>
      <c r="G8" s="65"/>
      <c r="H8" s="65"/>
      <c r="I8" s="66"/>
      <c r="J8" s="67"/>
      <c r="K8" s="65"/>
      <c r="L8" s="65"/>
      <c r="M8" s="65"/>
      <c r="N8" s="68"/>
      <c r="O8" s="69"/>
      <c r="P8" s="65"/>
      <c r="Q8" s="65"/>
      <c r="R8" s="65"/>
      <c r="S8" s="66"/>
      <c r="T8" s="67"/>
      <c r="U8" s="65"/>
      <c r="V8" s="65"/>
      <c r="W8" s="65"/>
      <c r="X8" s="68"/>
      <c r="Y8" s="69"/>
      <c r="Z8" s="65"/>
      <c r="AA8" s="65"/>
      <c r="AB8" s="65"/>
      <c r="AC8" s="70"/>
    </row>
    <row r="9" spans="1:29" x14ac:dyDescent="0.3">
      <c r="A9" s="147">
        <f>Cronograma!A22</f>
        <v>8.3000000000000007</v>
      </c>
      <c r="B9" s="150">
        <f>Cronograma!C22</f>
        <v>5</v>
      </c>
      <c r="C9" s="54">
        <f>A9</f>
        <v>8.3000000000000007</v>
      </c>
      <c r="D9" s="8" t="str">
        <f>Cronograma!B22</f>
        <v>Control de no conformidades</v>
      </c>
      <c r="E9" s="43"/>
      <c r="F9" s="44"/>
      <c r="G9" s="44"/>
      <c r="H9" s="44"/>
      <c r="I9" s="45"/>
      <c r="J9" s="46"/>
      <c r="K9" s="44"/>
      <c r="L9" s="44"/>
      <c r="M9" s="44"/>
      <c r="N9" s="47"/>
      <c r="O9" s="48"/>
      <c r="P9" s="44"/>
      <c r="Q9" s="44"/>
      <c r="R9" s="44"/>
      <c r="S9" s="45"/>
      <c r="T9" s="46"/>
      <c r="U9" s="44"/>
      <c r="V9" s="44"/>
      <c r="W9" s="44"/>
      <c r="X9" s="47"/>
      <c r="Y9" s="48"/>
      <c r="Z9" s="44"/>
      <c r="AA9" s="44"/>
      <c r="AB9" s="44"/>
      <c r="AC9" s="49"/>
    </row>
    <row r="10" spans="1:29" x14ac:dyDescent="0.3">
      <c r="A10" s="148"/>
      <c r="B10" s="151"/>
      <c r="C10" s="73" t="s">
        <v>40</v>
      </c>
      <c r="D10" s="9" t="s">
        <v>91</v>
      </c>
      <c r="E10" s="23"/>
      <c r="F10" s="24"/>
      <c r="G10" s="24"/>
      <c r="H10" s="24"/>
      <c r="I10" s="25"/>
      <c r="J10" s="26"/>
      <c r="K10" s="24"/>
      <c r="L10" s="24"/>
      <c r="M10" s="24"/>
      <c r="N10" s="27"/>
      <c r="O10" s="28"/>
      <c r="P10" s="24"/>
      <c r="Q10" s="24"/>
      <c r="R10" s="24"/>
      <c r="S10" s="25"/>
      <c r="T10" s="26"/>
      <c r="U10" s="24"/>
      <c r="V10" s="24"/>
      <c r="W10" s="24"/>
      <c r="X10" s="27"/>
      <c r="Y10" s="28"/>
      <c r="Z10" s="24"/>
      <c r="AA10" s="24"/>
      <c r="AB10" s="24"/>
      <c r="AC10" s="29"/>
    </row>
    <row r="11" spans="1:29" ht="24.6" thickBot="1" x14ac:dyDescent="0.35">
      <c r="A11" s="149"/>
      <c r="B11" s="152"/>
      <c r="C11" s="75" t="s">
        <v>41</v>
      </c>
      <c r="D11" s="11" t="s">
        <v>60</v>
      </c>
      <c r="E11" s="55"/>
      <c r="F11" s="56"/>
      <c r="G11" s="56"/>
      <c r="H11" s="56"/>
      <c r="I11" s="57"/>
      <c r="J11" s="58"/>
      <c r="K11" s="56"/>
      <c r="L11" s="56"/>
      <c r="M11" s="56"/>
      <c r="N11" s="59"/>
      <c r="O11" s="60"/>
      <c r="P11" s="56"/>
      <c r="Q11" s="56"/>
      <c r="R11" s="56"/>
      <c r="S11" s="57"/>
      <c r="T11" s="58"/>
      <c r="U11" s="56"/>
      <c r="V11" s="56"/>
      <c r="W11" s="56"/>
      <c r="X11" s="59"/>
      <c r="Y11" s="60"/>
      <c r="Z11" s="56"/>
      <c r="AA11" s="56"/>
      <c r="AB11" s="56"/>
      <c r="AC11" s="61"/>
    </row>
    <row r="12" spans="1:29" x14ac:dyDescent="0.3">
      <c r="A12" s="147">
        <f>Cronograma!A23</f>
        <v>8.4</v>
      </c>
      <c r="B12" s="150">
        <f>Cronograma!C23</f>
        <v>6</v>
      </c>
      <c r="C12" s="54">
        <f>A12</f>
        <v>8.4</v>
      </c>
      <c r="D12" s="8" t="str">
        <f>Cronograma!B23</f>
        <v>Mejora</v>
      </c>
      <c r="E12" s="43"/>
      <c r="F12" s="44"/>
      <c r="G12" s="44"/>
      <c r="H12" s="44"/>
      <c r="I12" s="45"/>
      <c r="J12" s="46"/>
      <c r="K12" s="44"/>
      <c r="L12" s="44"/>
      <c r="M12" s="44"/>
      <c r="N12" s="47"/>
      <c r="O12" s="48"/>
      <c r="P12" s="44"/>
      <c r="Q12" s="44"/>
      <c r="R12" s="44"/>
      <c r="S12" s="45"/>
      <c r="T12" s="46"/>
      <c r="U12" s="44"/>
      <c r="V12" s="44"/>
      <c r="W12" s="44"/>
      <c r="X12" s="47"/>
      <c r="Y12" s="48"/>
      <c r="Z12" s="44"/>
      <c r="AA12" s="44"/>
      <c r="AB12" s="44"/>
      <c r="AC12" s="49"/>
    </row>
    <row r="13" spans="1:29" x14ac:dyDescent="0.3">
      <c r="A13" s="148"/>
      <c r="B13" s="151"/>
      <c r="C13" s="121" t="s">
        <v>40</v>
      </c>
      <c r="D13" s="122" t="s">
        <v>71</v>
      </c>
      <c r="E13" s="23"/>
      <c r="F13" s="24"/>
      <c r="G13" s="24"/>
      <c r="H13" s="24"/>
      <c r="I13" s="25"/>
      <c r="J13" s="26"/>
      <c r="K13" s="24"/>
      <c r="L13" s="24"/>
      <c r="M13" s="24"/>
      <c r="N13" s="27"/>
      <c r="O13" s="28"/>
      <c r="P13" s="24"/>
      <c r="Q13" s="24"/>
      <c r="R13" s="24"/>
      <c r="S13" s="25"/>
      <c r="T13" s="26"/>
      <c r="U13" s="24"/>
      <c r="V13" s="24"/>
      <c r="W13" s="24"/>
      <c r="X13" s="27"/>
      <c r="Y13" s="28"/>
      <c r="Z13" s="24"/>
      <c r="AA13" s="24"/>
      <c r="AB13" s="24"/>
      <c r="AC13" s="29"/>
    </row>
    <row r="14" spans="1:29" ht="24" x14ac:dyDescent="0.3">
      <c r="A14" s="164"/>
      <c r="B14" s="165"/>
      <c r="C14" s="121" t="s">
        <v>41</v>
      </c>
      <c r="D14" s="122" t="s">
        <v>72</v>
      </c>
      <c r="E14" s="112"/>
      <c r="F14" s="113"/>
      <c r="G14" s="113"/>
      <c r="H14" s="113"/>
      <c r="I14" s="114"/>
      <c r="J14" s="115"/>
      <c r="K14" s="113"/>
      <c r="L14" s="113"/>
      <c r="M14" s="113"/>
      <c r="N14" s="116"/>
      <c r="O14" s="117"/>
      <c r="P14" s="113"/>
      <c r="Q14" s="113"/>
      <c r="R14" s="113"/>
      <c r="S14" s="114"/>
      <c r="T14" s="115"/>
      <c r="U14" s="113"/>
      <c r="V14" s="113"/>
      <c r="W14" s="113"/>
      <c r="X14" s="116"/>
      <c r="Y14" s="117"/>
      <c r="Z14" s="113"/>
      <c r="AA14" s="113"/>
      <c r="AB14" s="113"/>
      <c r="AC14" s="118"/>
    </row>
    <row r="15" spans="1:29" ht="24" x14ac:dyDescent="0.3">
      <c r="A15" s="164"/>
      <c r="B15" s="165"/>
      <c r="C15" s="123" t="s">
        <v>42</v>
      </c>
      <c r="D15" s="122" t="s">
        <v>73</v>
      </c>
      <c r="E15" s="112"/>
      <c r="F15" s="113"/>
      <c r="G15" s="113"/>
      <c r="H15" s="113"/>
      <c r="I15" s="114"/>
      <c r="J15" s="115"/>
      <c r="K15" s="113"/>
      <c r="L15" s="113"/>
      <c r="M15" s="113"/>
      <c r="N15" s="116"/>
      <c r="O15" s="117"/>
      <c r="P15" s="113"/>
      <c r="Q15" s="113"/>
      <c r="R15" s="113"/>
      <c r="S15" s="114"/>
      <c r="T15" s="115"/>
      <c r="U15" s="113"/>
      <c r="V15" s="113"/>
      <c r="W15" s="113"/>
      <c r="X15" s="116"/>
      <c r="Y15" s="117"/>
      <c r="Z15" s="113"/>
      <c r="AA15" s="113"/>
      <c r="AB15" s="113"/>
      <c r="AC15" s="118"/>
    </row>
    <row r="16" spans="1:29" ht="24.6" thickBot="1" x14ac:dyDescent="0.35">
      <c r="A16" s="149"/>
      <c r="B16" s="152"/>
      <c r="C16" s="75" t="s">
        <v>46</v>
      </c>
      <c r="D16" s="11" t="s">
        <v>62</v>
      </c>
      <c r="E16" s="55"/>
      <c r="F16" s="56"/>
      <c r="G16" s="56"/>
      <c r="H16" s="56"/>
      <c r="I16" s="57"/>
      <c r="J16" s="58"/>
      <c r="K16" s="56"/>
      <c r="L16" s="56"/>
      <c r="M16" s="56"/>
      <c r="N16" s="59"/>
      <c r="O16" s="60"/>
      <c r="P16" s="56"/>
      <c r="Q16" s="56"/>
      <c r="R16" s="56"/>
      <c r="S16" s="57"/>
      <c r="T16" s="58"/>
      <c r="U16" s="56"/>
      <c r="V16" s="56"/>
      <c r="W16" s="56"/>
      <c r="X16" s="59"/>
      <c r="Y16" s="60"/>
      <c r="Z16" s="56"/>
      <c r="AA16" s="56"/>
      <c r="AB16" s="56"/>
      <c r="AC16" s="61"/>
    </row>
  </sheetData>
  <sheetProtection selectLockedCells="1"/>
  <mergeCells count="17">
    <mergeCell ref="A9:A11"/>
    <mergeCell ref="B9:B11"/>
    <mergeCell ref="A12:A16"/>
    <mergeCell ref="B12:B16"/>
    <mergeCell ref="O1:S1"/>
    <mergeCell ref="T1:X1"/>
    <mergeCell ref="Y1:AC1"/>
    <mergeCell ref="A4:A5"/>
    <mergeCell ref="B4:B5"/>
    <mergeCell ref="A6:A8"/>
    <mergeCell ref="B6:B8"/>
    <mergeCell ref="A1:A2"/>
    <mergeCell ref="B1:B2"/>
    <mergeCell ref="C1:C2"/>
    <mergeCell ref="D1:D2"/>
    <mergeCell ref="E1:I1"/>
    <mergeCell ref="J1:N1"/>
  </mergeCells>
  <pageMargins left="0.23622047244094491" right="0.23622047244094491" top="0.74803149606299213" bottom="0.74803149606299213" header="0.31496062992125984" footer="0.31496062992125984"/>
  <pageSetup scale="55" orientation="landscape" r:id="rId1"/>
  <headerFooter>
    <oddHeader>&amp;L&amp;G&amp;CMETRyCAL Metrología y Calidad
www.metrycal.com&amp;RCronogramaAcreditacion17025</oddHeader>
    <oddFooter>Página &amp;P</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Cronograma</vt:lpstr>
      <vt:lpstr>Cap5</vt:lpstr>
      <vt:lpstr>Cap6</vt:lpstr>
      <vt:lpstr>Cap7</vt:lpstr>
      <vt:lpstr>Cap8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METRYCAL</dc:creator>
  <cp:lastModifiedBy>JOSUE .</cp:lastModifiedBy>
  <cp:lastPrinted>2015-02-18T04:02:17Z</cp:lastPrinted>
  <dcterms:created xsi:type="dcterms:W3CDTF">2015-01-10T03:28:42Z</dcterms:created>
  <dcterms:modified xsi:type="dcterms:W3CDTF">2019-03-15T19:36:18Z</dcterms:modified>
</cp:coreProperties>
</file>