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D6EFA8DA-44E4-413D-8A79-3324D3ABE007}" xr6:coauthVersionLast="47" xr6:coauthVersionMax="47" xr10:uidLastSave="{00000000-0000-0000-0000-000000000000}"/>
  <bookViews>
    <workbookView xWindow="-108" yWindow="-108" windowWidth="23256" windowHeight="12456" tabRatio="834" xr2:uid="{00000000-000D-0000-FFFF-FFFF00000000}"/>
  </bookViews>
  <sheets>
    <sheet name="Control" sheetId="15" r:id="rId1"/>
    <sheet name="Datos" sheetId="14" r:id="rId2"/>
    <sheet name="Grafica Carta X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4" l="1"/>
  <c r="D11" i="14" l="1"/>
  <c r="D10" i="14"/>
  <c r="E38" i="14" l="1"/>
  <c r="E37" i="14"/>
  <c r="E39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Insertar el número de servicios que integran la muestra.</t>
        </r>
      </text>
    </comment>
    <comment ref="B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Esta columna se actualiza de manera automática, hasta un máximo de 25 muestras.</t>
        </r>
      </text>
    </comment>
    <comment ref="C8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 xml:space="preserve">Insertar el índice de satisfacción  obtenido en cada muestra. Inserte solo valores numéricos y en orden continuo (no saltar renglones).
</t>
        </r>
      </text>
    </comment>
    <comment ref="D8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Esta columna se actualiza de manera automática, hasta un máximo de 25 muestras.</t>
        </r>
      </text>
    </comment>
  </commentList>
</comments>
</file>

<file path=xl/sharedStrings.xml><?xml version="1.0" encoding="utf-8"?>
<sst xmlns="http://schemas.openxmlformats.org/spreadsheetml/2006/main" count="59" uniqueCount="55">
  <si>
    <t>DATOS DE ENTRADA</t>
  </si>
  <si>
    <t>Característica a monitorear:</t>
  </si>
  <si>
    <t>Tipo de carta de control a utilizar:</t>
  </si>
  <si>
    <t>Número de muestras =</t>
  </si>
  <si>
    <t>Límite de control superior (LCS) =</t>
  </si>
  <si>
    <t>Límite de control inferior (LCI) =</t>
  </si>
  <si>
    <t>Línea de control central (LC) =</t>
  </si>
  <si>
    <t>Índice de satisfacción del cliente</t>
  </si>
  <si>
    <t>RM</t>
  </si>
  <si>
    <t>---</t>
  </si>
  <si>
    <t>Índice de satisfacción</t>
  </si>
  <si>
    <t>Tipo "X-RM" de rangos móviles</t>
  </si>
  <si>
    <t>Identificación:</t>
  </si>
  <si>
    <t xml:space="preserve">Inicio de vigencia: </t>
  </si>
  <si>
    <t>DOCUMENTO CONTROLADO</t>
  </si>
  <si>
    <t>Autor de documento original: LOGC750219</t>
  </si>
  <si>
    <t>Nombre</t>
  </si>
  <si>
    <t>Puesto o función</t>
  </si>
  <si>
    <t>Firma</t>
  </si>
  <si>
    <t>Fecha</t>
  </si>
  <si>
    <t>Elaboró:</t>
  </si>
  <si>
    <t>Revisó:</t>
  </si>
  <si>
    <t>Aprobó:</t>
  </si>
  <si>
    <t>Localización del documento:</t>
  </si>
  <si>
    <t>Control de cambios</t>
  </si>
  <si>
    <t>Estado</t>
  </si>
  <si>
    <t>Fecha de inicio de vigencia</t>
  </si>
  <si>
    <t>Revisión</t>
  </si>
  <si>
    <t>Descripción del cambio realizado</t>
  </si>
  <si>
    <t>Realizó</t>
  </si>
  <si>
    <t>Revisó</t>
  </si>
  <si>
    <t>Aprobó</t>
  </si>
  <si>
    <t>Vigente</t>
  </si>
  <si>
    <t>Ninguno (versión original).</t>
  </si>
  <si>
    <r>
      <t xml:space="preserve">Documento controlado, prohibida su reproducción parcial o total sin autorización. </t>
    </r>
    <r>
      <rPr>
        <sz val="10"/>
        <color theme="1"/>
        <rFont val="Arial"/>
        <family val="2"/>
      </rPr>
      <t/>
    </r>
  </si>
  <si>
    <t>Página 1 de 3</t>
  </si>
  <si>
    <t>ÍNDICE DE SATISFACCIÓN DEL CLIENTE</t>
  </si>
  <si>
    <t>Página 2 de 3</t>
  </si>
  <si>
    <t>Tamaño de muestra estadística:</t>
  </si>
  <si>
    <t>Muestra estadística      No.</t>
  </si>
  <si>
    <t>servicios de la Organización</t>
  </si>
  <si>
    <t>Formato para carta de control tipo X-RM para índice de satisfacción del cliente</t>
  </si>
  <si>
    <t>SOFT-G-002</t>
  </si>
  <si>
    <t>SOFT-G-002 Formato para carta de control tipo X-RM para índice de satisfacción del cliente</t>
  </si>
  <si>
    <t>FELIX RUIZ GONZALEZ</t>
  </si>
  <si>
    <r>
      <t xml:space="preserve">Revisión: </t>
    </r>
    <r>
      <rPr>
        <sz val="10"/>
        <color theme="1"/>
        <rFont val="Arial"/>
        <family val="2"/>
      </rPr>
      <t>0</t>
    </r>
  </si>
  <si>
    <t>Copia controlada No. :0</t>
  </si>
  <si>
    <t>Lezlie Anahy Gutierrez Armendáriz.</t>
  </si>
  <si>
    <t>LAGA</t>
  </si>
  <si>
    <t>Estación de servicio</t>
  </si>
  <si>
    <t>Administrativo</t>
  </si>
  <si>
    <t xml:space="preserve">Félix Ruiz Gonzalez </t>
  </si>
  <si>
    <t>Alta Dirección</t>
  </si>
  <si>
    <t>FRG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</si>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</sst>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20" xfId="0" applyFont="1" applyBorder="1" applyAlignment="1">
      <alignment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0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2" fontId="17" fillId="0" borderId="8" xfId="0" quotePrefix="1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2" fontId="17" fillId="0" borderId="9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2" fontId="17" fillId="0" borderId="10" xfId="0" applyNumberFormat="1" applyFont="1" applyBorder="1" applyAlignment="1">
      <alignment horizontal="center" vertical="center"/>
    </xf>
    <xf numFmtId="0" fontId="8" fillId="0" borderId="17" xfId="0" applyFont="1" applyBorder="1" applyAlignment="1" applyProtection="1">
      <alignment horizontal="center" vertical="center"/>
      <protection locked="0"/>
    </xf>
    <xf numFmtId="1" fontId="8" fillId="0" borderId="7" xfId="0" applyNumberFormat="1" applyFont="1" applyBorder="1" applyAlignment="1" applyProtection="1">
      <alignment horizontal="center"/>
      <protection locked="0"/>
    </xf>
    <xf numFmtId="1" fontId="8" fillId="0" borderId="12" xfId="0" applyNumberFormat="1" applyFont="1" applyBorder="1" applyAlignment="1" applyProtection="1">
      <alignment horizontal="center"/>
      <protection locked="0"/>
    </xf>
    <xf numFmtId="2" fontId="8" fillId="0" borderId="11" xfId="0" applyNumberFormat="1" applyFont="1" applyBorder="1" applyAlignment="1" applyProtection="1">
      <alignment horizontal="center"/>
      <protection locked="0"/>
    </xf>
    <xf numFmtId="2" fontId="8" fillId="0" borderId="7" xfId="0" applyNumberFormat="1" applyFont="1" applyBorder="1" applyAlignment="1" applyProtection="1">
      <alignment horizontal="center"/>
      <protection locked="0"/>
    </xf>
    <xf numFmtId="0" fontId="13" fillId="4" borderId="20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3" fillId="4" borderId="20" xfId="0" applyFont="1" applyFill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4" fillId="4" borderId="20" xfId="0" applyFont="1" applyFill="1" applyBorder="1" applyAlignment="1">
      <alignment horizontal="center" vertical="center" wrapText="1"/>
    </xf>
    <xf numFmtId="0" fontId="14" fillId="4" borderId="30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4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14" fontId="17" fillId="5" borderId="24" xfId="0" applyNumberFormat="1" applyFont="1" applyFill="1" applyBorder="1" applyAlignment="1">
      <alignment horizontal="left" vertical="center" wrapText="1"/>
    </xf>
    <xf numFmtId="0" fontId="17" fillId="5" borderId="25" xfId="0" applyFont="1" applyFill="1" applyBorder="1" applyAlignment="1">
      <alignment horizontal="left" vertical="center" wrapText="1"/>
    </xf>
    <xf numFmtId="0" fontId="15" fillId="5" borderId="20" xfId="0" applyFont="1" applyFill="1" applyBorder="1" applyAlignment="1">
      <alignment horizontal="center" vertical="center" wrapText="1"/>
    </xf>
    <xf numFmtId="14" fontId="15" fillId="5" borderId="20" xfId="0" applyNumberFormat="1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800">
                <a:latin typeface="Arial" pitchFamily="34" charset="0"/>
                <a:cs typeface="Arial" pitchFamily="34" charset="0"/>
              </a:defRPr>
            </a:pPr>
            <a:r>
              <a:rPr lang="es-ES" sz="1800">
                <a:latin typeface="Arial" pitchFamily="34" charset="0"/>
                <a:cs typeface="Arial" pitchFamily="34" charset="0"/>
              </a:rPr>
              <a:t>Carta</a:t>
            </a:r>
            <a:r>
              <a:rPr lang="es-ES" sz="1800" baseline="0">
                <a:latin typeface="Arial" pitchFamily="34" charset="0"/>
                <a:cs typeface="Arial" pitchFamily="34" charset="0"/>
              </a:rPr>
              <a:t> de control de índice de satisfacción del cliente</a:t>
            </a:r>
            <a:endParaRPr lang="es-ES" sz="1800">
              <a:latin typeface="Arial" pitchFamily="34" charset="0"/>
              <a:cs typeface="Arial" pitchFamily="34" charset="0"/>
            </a:endParaRPr>
          </a:p>
        </c:rich>
      </c:tx>
      <c:layout>
        <c:manualLayout>
          <c:xMode val="edge"/>
          <c:yMode val="edge"/>
          <c:x val="0.18688277527989958"/>
          <c:y val="1.297423597556597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306815494217068"/>
          <c:y val="0.11926179276086359"/>
          <c:w val="0.8524360993337371"/>
          <c:h val="0.75020981185414093"/>
        </c:manualLayout>
      </c:layout>
      <c:scatterChart>
        <c:scatterStyle val="lineMarker"/>
        <c:varyColors val="0"/>
        <c:ser>
          <c:idx val="0"/>
          <c:order val="0"/>
          <c:tx>
            <c:v>Datos</c:v>
          </c:tx>
          <c:spPr>
            <a:ln>
              <a:solidFill>
                <a:srgbClr val="0000FF"/>
              </a:solidFill>
            </a:ln>
          </c:spPr>
          <c:marker>
            <c:spPr>
              <a:solidFill>
                <a:sysClr val="windowText" lastClr="000000">
                  <a:lumMod val="95000"/>
                  <a:lumOff val="5000"/>
                </a:sysClr>
              </a:solidFill>
            </c:spPr>
          </c:marker>
          <c:xVal>
            <c:numRef>
              <c:f>Datos!$B$9:$B$33</c:f>
              <c:numCache>
                <c:formatCode>General</c:formatCode>
                <c:ptCount val="25"/>
              </c:numCache>
            </c:numRef>
          </c:xVal>
          <c:yVal>
            <c:numRef>
              <c:f>Datos!$C$9:$C$33</c:f>
              <c:numCache>
                <c:formatCode>0.00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F-4D8F-9FAF-C04A0F8AB762}"/>
            </c:ext>
          </c:extLst>
        </c:ser>
        <c:ser>
          <c:idx val="3"/>
          <c:order val="1"/>
          <c:tx>
            <c:v>LC</c:v>
          </c:tx>
          <c:spPr>
            <a:ln w="635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(Datos!$D$39,Datos!$E$39)</c:f>
              <c:numCache>
                <c:formatCode>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(Datos!$E$36,Datos!$E$36)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3F-4D8F-9FAF-C04A0F8AB762}"/>
            </c:ext>
          </c:extLst>
        </c:ser>
        <c:ser>
          <c:idx val="2"/>
          <c:order val="2"/>
          <c:tx>
            <c:v>LCI</c:v>
          </c:tx>
          <c:spPr>
            <a:ln w="6350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(Datos!$D$39,Datos!$E$39)</c:f>
              <c:numCache>
                <c:formatCode>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(Datos!$E$37,Datos!$E$37)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3F-4D8F-9FAF-C04A0F8AB762}"/>
            </c:ext>
          </c:extLst>
        </c:ser>
        <c:ser>
          <c:idx val="1"/>
          <c:order val="3"/>
          <c:tx>
            <c:v>LCS</c:v>
          </c:tx>
          <c:spPr>
            <a:ln w="6350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(Datos!$D$39,Datos!$E$39)</c:f>
              <c:numCache>
                <c:formatCode>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(Datos!$E$38,Datos!$E$38)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3F-4D8F-9FAF-C04A0F8AB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484928"/>
        <c:axId val="243499392"/>
      </c:scatterChart>
      <c:valAx>
        <c:axId val="243484928"/>
        <c:scaling>
          <c:orientation val="minMax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es-ES" sz="1400">
                    <a:latin typeface="Arial" pitchFamily="34" charset="0"/>
                    <a:cs typeface="Arial" pitchFamily="34" charset="0"/>
                  </a:defRPr>
                </a:pPr>
                <a:r>
                  <a:rPr lang="es-ES" sz="1400">
                    <a:latin typeface="Arial" pitchFamily="34" charset="0"/>
                    <a:cs typeface="Arial" pitchFamily="34" charset="0"/>
                  </a:rPr>
                  <a:t>Número de muestra estadística</a:t>
                </a:r>
                <a:r>
                  <a:rPr lang="es-ES" sz="1400" baseline="0">
                    <a:latin typeface="Arial" pitchFamily="34" charset="0"/>
                    <a:cs typeface="Arial" pitchFamily="34" charset="0"/>
                  </a:rPr>
                  <a:t> </a:t>
                </a:r>
                <a:r>
                  <a:rPr lang="es-ES" sz="1400">
                    <a:latin typeface="Arial" pitchFamily="34" charset="0"/>
                    <a:cs typeface="Arial" pitchFamily="34" charset="0"/>
                  </a:rPr>
                  <a:t>o periodo</a:t>
                </a:r>
              </a:p>
            </c:rich>
          </c:tx>
          <c:layout>
            <c:manualLayout>
              <c:xMode val="edge"/>
              <c:yMode val="edge"/>
              <c:x val="0.31082506994318015"/>
              <c:y val="0.912878115510495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 sz="1200">
                <a:latin typeface="Arial" pitchFamily="34" charset="0"/>
                <a:cs typeface="Arial" pitchFamily="34" charset="0"/>
              </a:defRPr>
            </a:pPr>
            <a:endParaRPr lang="es-MX"/>
          </a:p>
        </c:txPr>
        <c:crossAx val="243499392"/>
        <c:crosses val="autoZero"/>
        <c:crossBetween val="midCat"/>
        <c:majorUnit val="5"/>
        <c:minorUnit val="1"/>
      </c:valAx>
      <c:valAx>
        <c:axId val="2434993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es-ES" sz="1400">
                    <a:latin typeface="Arial" pitchFamily="34" charset="0"/>
                    <a:cs typeface="Arial" pitchFamily="34" charset="0"/>
                  </a:defRPr>
                </a:pPr>
                <a:r>
                  <a:rPr lang="es-ES" sz="1400" baseline="0">
                    <a:latin typeface="Arial" pitchFamily="34" charset="0"/>
                    <a:cs typeface="Arial" pitchFamily="34" charset="0"/>
                  </a:rPr>
                  <a:t>Índice de satisfacción del cliente</a:t>
                </a:r>
                <a:endParaRPr lang="es-ES" sz="1400"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2.3864095734698988E-2"/>
              <c:y val="0.26897157993131959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1200">
                <a:latin typeface="Arial" pitchFamily="34" charset="0"/>
                <a:cs typeface="Arial" pitchFamily="34" charset="0"/>
              </a:defRPr>
            </a:pPr>
            <a:endParaRPr lang="es-MX"/>
          </a:p>
        </c:txPr>
        <c:crossAx val="2434849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4705689963908981"/>
          <c:y val="1.3325952447307324E-3"/>
          <c:w val="0.15294310036091077"/>
          <c:h val="0.13419108592768619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lang="es-ES" sz="1200">
              <a:latin typeface="Arial" pitchFamily="34" charset="0"/>
              <a:cs typeface="Arial" pitchFamily="34" charset="0"/>
            </a:defRPr>
          </a:pPr>
          <a:endParaRPr lang="es-MX"/>
        </a:p>
      </c:txPr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0171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0.02473</cdr:x>
      <cdr:y>0.95652</cdr:y>
    </cdr:from>
    <cdr:to>
      <cdr:x>0.97554</cdr:x>
      <cdr:y>0.99854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14314" y="6024563"/>
          <a:ext cx="8241424" cy="264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PROC-G-005                        Página </a:t>
          </a:r>
          <a:r>
            <a:rPr lang="es-MX" sz="1100" baseline="0"/>
            <a:t> 3 </a:t>
          </a:r>
          <a:r>
            <a:rPr lang="es-MX" sz="1100"/>
            <a:t>de 3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tabSelected="1" zoomScaleNormal="100" workbookViewId="0">
      <selection activeCell="I10" sqref="I10"/>
    </sheetView>
  </sheetViews>
  <sheetFormatPr baseColWidth="10" defaultColWidth="11.44140625" defaultRowHeight="13.8" x14ac:dyDescent="0.3"/>
  <cols>
    <col min="1" max="1" width="9.6640625" style="1" customWidth="1"/>
    <col min="2" max="2" width="13" style="1" customWidth="1"/>
    <col min="3" max="3" width="8.6640625" style="1" customWidth="1"/>
    <col min="4" max="4" width="23.33203125" style="1" customWidth="1"/>
    <col min="5" max="5" width="8.6640625" style="1" customWidth="1"/>
    <col min="6" max="6" width="15.44140625" style="1" customWidth="1"/>
    <col min="7" max="7" width="9.6640625" style="1" customWidth="1"/>
    <col min="8" max="16384" width="11.44140625" style="1"/>
  </cols>
  <sheetData>
    <row r="1" spans="1:7" x14ac:dyDescent="0.3">
      <c r="A1" s="72" t="s">
        <v>54</v>
      </c>
      <c r="B1" s="72"/>
      <c r="C1" s="60" t="s">
        <v>41</v>
      </c>
      <c r="D1" s="61"/>
      <c r="E1" s="61"/>
      <c r="F1" s="64" t="s">
        <v>12</v>
      </c>
      <c r="G1" s="65"/>
    </row>
    <row r="2" spans="1:7" x14ac:dyDescent="0.3">
      <c r="A2" s="72"/>
      <c r="B2" s="72"/>
      <c r="C2" s="62"/>
      <c r="D2" s="63"/>
      <c r="E2" s="63"/>
      <c r="F2" s="66" t="s">
        <v>42</v>
      </c>
      <c r="G2" s="67"/>
    </row>
    <row r="3" spans="1:7" x14ac:dyDescent="0.3">
      <c r="A3" s="72"/>
      <c r="B3" s="72"/>
      <c r="C3" s="62"/>
      <c r="D3" s="63"/>
      <c r="E3" s="63"/>
      <c r="F3" s="68" t="s">
        <v>45</v>
      </c>
      <c r="G3" s="69"/>
    </row>
    <row r="4" spans="1:7" x14ac:dyDescent="0.3">
      <c r="A4" s="72"/>
      <c r="B4" s="72"/>
      <c r="C4" s="73" t="s">
        <v>44</v>
      </c>
      <c r="D4" s="74"/>
      <c r="E4" s="74"/>
      <c r="F4" s="70" t="s">
        <v>13</v>
      </c>
      <c r="G4" s="71"/>
    </row>
    <row r="5" spans="1:7" x14ac:dyDescent="0.3">
      <c r="A5" s="72"/>
      <c r="B5" s="72"/>
      <c r="C5" s="75"/>
      <c r="D5" s="76"/>
      <c r="E5" s="76"/>
      <c r="F5" s="77">
        <v>45642</v>
      </c>
      <c r="G5" s="78"/>
    </row>
    <row r="10" spans="1:7" ht="21" x14ac:dyDescent="0.3">
      <c r="A10" s="55" t="s">
        <v>14</v>
      </c>
      <c r="B10" s="55"/>
      <c r="C10" s="55"/>
      <c r="D10" s="55"/>
      <c r="E10" s="55"/>
      <c r="F10" s="55"/>
      <c r="G10" s="55"/>
    </row>
    <row r="11" spans="1:7" ht="6" customHeight="1" x14ac:dyDescent="0.3">
      <c r="A11" s="56" t="s">
        <v>15</v>
      </c>
      <c r="B11" s="56"/>
      <c r="C11" s="56"/>
      <c r="D11" s="56"/>
      <c r="E11" s="56"/>
      <c r="F11" s="56"/>
      <c r="G11" s="56"/>
    </row>
    <row r="12" spans="1:7" x14ac:dyDescent="0.3">
      <c r="A12" s="57" t="s">
        <v>43</v>
      </c>
      <c r="B12" s="57"/>
      <c r="C12" s="57"/>
      <c r="D12" s="57"/>
      <c r="E12" s="57"/>
      <c r="F12" s="57"/>
      <c r="G12" s="57"/>
    </row>
    <row r="13" spans="1:7" ht="10.5" customHeight="1" x14ac:dyDescent="0.3">
      <c r="A13" s="8"/>
    </row>
    <row r="14" spans="1:7" ht="15.6" x14ac:dyDescent="0.3">
      <c r="A14" s="58" t="s">
        <v>46</v>
      </c>
      <c r="B14" s="58"/>
      <c r="C14" s="58"/>
      <c r="D14" s="58"/>
      <c r="E14" s="58"/>
      <c r="F14" s="58"/>
      <c r="G14" s="58"/>
    </row>
    <row r="17" spans="1:7" ht="26.25" customHeight="1" x14ac:dyDescent="0.3">
      <c r="A17" s="27"/>
      <c r="B17" s="59" t="s">
        <v>16</v>
      </c>
      <c r="C17" s="59"/>
      <c r="D17" s="59" t="s">
        <v>17</v>
      </c>
      <c r="E17" s="59"/>
      <c r="F17" s="28" t="s">
        <v>18</v>
      </c>
      <c r="G17" s="28" t="s">
        <v>19</v>
      </c>
    </row>
    <row r="18" spans="1:7" ht="36" customHeight="1" x14ac:dyDescent="0.3">
      <c r="A18" s="9" t="s">
        <v>20</v>
      </c>
      <c r="B18" s="81" t="s">
        <v>47</v>
      </c>
      <c r="C18" s="81"/>
      <c r="D18" s="82" t="s">
        <v>50</v>
      </c>
      <c r="E18" s="82"/>
      <c r="F18" s="83"/>
      <c r="G18" s="80">
        <v>45642</v>
      </c>
    </row>
    <row r="19" spans="1:7" ht="35.4" customHeight="1" x14ac:dyDescent="0.3">
      <c r="A19" s="9" t="s">
        <v>21</v>
      </c>
      <c r="B19" s="81" t="s">
        <v>51</v>
      </c>
      <c r="C19" s="81"/>
      <c r="D19" s="82" t="s">
        <v>52</v>
      </c>
      <c r="E19" s="82"/>
      <c r="F19" s="83"/>
      <c r="G19" s="80">
        <v>45642</v>
      </c>
    </row>
    <row r="20" spans="1:7" ht="34.799999999999997" customHeight="1" x14ac:dyDescent="0.3">
      <c r="A20" s="9" t="s">
        <v>22</v>
      </c>
      <c r="B20" s="81" t="s">
        <v>51</v>
      </c>
      <c r="C20" s="81"/>
      <c r="D20" s="82" t="s">
        <v>52</v>
      </c>
      <c r="E20" s="82"/>
      <c r="F20" s="83"/>
      <c r="G20" s="80">
        <v>45642</v>
      </c>
    </row>
    <row r="21" spans="1:7" ht="15" customHeight="1" x14ac:dyDescent="0.3">
      <c r="A21" s="49" t="s">
        <v>23</v>
      </c>
      <c r="B21" s="49"/>
      <c r="C21" s="49"/>
      <c r="D21" s="50" t="s">
        <v>49</v>
      </c>
      <c r="E21" s="50"/>
      <c r="F21" s="50"/>
      <c r="G21" s="50"/>
    </row>
    <row r="24" spans="1:7" ht="15.6" x14ac:dyDescent="0.3">
      <c r="A24" s="51" t="s">
        <v>24</v>
      </c>
      <c r="B24" s="51"/>
      <c r="C24" s="51"/>
      <c r="D24" s="51"/>
      <c r="E24" s="51"/>
      <c r="F24" s="51"/>
      <c r="G24" s="51"/>
    </row>
    <row r="26" spans="1:7" x14ac:dyDescent="0.3">
      <c r="A26" s="52" t="s">
        <v>25</v>
      </c>
      <c r="B26" s="53" t="s">
        <v>26</v>
      </c>
      <c r="C26" s="52" t="s">
        <v>27</v>
      </c>
      <c r="D26" s="52" t="s">
        <v>28</v>
      </c>
      <c r="E26" s="52" t="s">
        <v>29</v>
      </c>
      <c r="F26" s="52" t="s">
        <v>30</v>
      </c>
      <c r="G26" s="52" t="s">
        <v>31</v>
      </c>
    </row>
    <row r="27" spans="1:7" ht="24" customHeight="1" x14ac:dyDescent="0.3">
      <c r="A27" s="52"/>
      <c r="B27" s="54"/>
      <c r="C27" s="52"/>
      <c r="D27" s="52"/>
      <c r="E27" s="52"/>
      <c r="F27" s="52"/>
      <c r="G27" s="52"/>
    </row>
    <row r="28" spans="1:7" x14ac:dyDescent="0.3">
      <c r="A28" s="10" t="s">
        <v>32</v>
      </c>
      <c r="B28" s="80">
        <v>45642</v>
      </c>
      <c r="C28" s="10">
        <v>0</v>
      </c>
      <c r="D28" s="11" t="s">
        <v>33</v>
      </c>
      <c r="E28" s="79" t="s">
        <v>48</v>
      </c>
      <c r="F28" s="79" t="s">
        <v>53</v>
      </c>
      <c r="G28" s="79" t="s">
        <v>53</v>
      </c>
    </row>
    <row r="29" spans="1:7" x14ac:dyDescent="0.3">
      <c r="A29" s="10"/>
      <c r="B29" s="10"/>
      <c r="C29" s="10"/>
      <c r="D29" s="11"/>
      <c r="E29" s="10"/>
      <c r="F29" s="10"/>
      <c r="G29" s="10"/>
    </row>
    <row r="30" spans="1:7" x14ac:dyDescent="0.3">
      <c r="A30" s="10"/>
      <c r="B30" s="10"/>
      <c r="C30" s="10"/>
      <c r="D30" s="11"/>
      <c r="E30" s="10"/>
      <c r="F30" s="10"/>
      <c r="G30" s="10"/>
    </row>
    <row r="31" spans="1:7" x14ac:dyDescent="0.3">
      <c r="A31" s="10"/>
      <c r="B31" s="10"/>
      <c r="C31" s="10"/>
      <c r="D31" s="11"/>
      <c r="E31" s="10"/>
      <c r="F31" s="10"/>
      <c r="G31" s="10"/>
    </row>
    <row r="32" spans="1:7" x14ac:dyDescent="0.3">
      <c r="A32" s="10"/>
      <c r="B32" s="10"/>
      <c r="C32" s="10"/>
      <c r="D32" s="11"/>
      <c r="E32" s="10"/>
      <c r="F32" s="10"/>
      <c r="G32" s="10"/>
    </row>
    <row r="33" spans="1:7" x14ac:dyDescent="0.3">
      <c r="A33" s="10"/>
      <c r="B33" s="10"/>
      <c r="C33" s="10"/>
      <c r="D33" s="11"/>
      <c r="E33" s="10"/>
      <c r="F33" s="10"/>
      <c r="G33" s="10"/>
    </row>
    <row r="34" spans="1:7" x14ac:dyDescent="0.3">
      <c r="A34" s="10"/>
      <c r="B34" s="10"/>
      <c r="C34" s="10"/>
      <c r="D34" s="11"/>
      <c r="E34" s="10"/>
      <c r="F34" s="10"/>
      <c r="G34" s="10"/>
    </row>
    <row r="35" spans="1:7" x14ac:dyDescent="0.3">
      <c r="A35" s="10"/>
      <c r="B35" s="10"/>
      <c r="C35" s="10"/>
      <c r="D35" s="11"/>
      <c r="E35" s="10"/>
      <c r="F35" s="10"/>
      <c r="G35" s="10"/>
    </row>
    <row r="36" spans="1:7" x14ac:dyDescent="0.3">
      <c r="A36" s="10"/>
      <c r="B36" s="10"/>
      <c r="C36" s="10"/>
      <c r="D36" s="11"/>
      <c r="E36" s="10"/>
      <c r="F36" s="10"/>
      <c r="G36" s="10"/>
    </row>
    <row r="37" spans="1:7" x14ac:dyDescent="0.3">
      <c r="A37" s="10"/>
      <c r="B37" s="10"/>
      <c r="C37" s="10"/>
      <c r="D37" s="11"/>
      <c r="E37" s="10"/>
      <c r="F37" s="10"/>
      <c r="G37" s="10"/>
    </row>
    <row r="38" spans="1:7" x14ac:dyDescent="0.3">
      <c r="A38" s="10"/>
      <c r="B38" s="10"/>
      <c r="C38" s="10"/>
      <c r="D38" s="11"/>
      <c r="E38" s="10"/>
      <c r="F38" s="10"/>
      <c r="G38" s="10"/>
    </row>
    <row r="39" spans="1:7" x14ac:dyDescent="0.3">
      <c r="A39" s="10"/>
      <c r="B39" s="10"/>
      <c r="C39" s="10"/>
      <c r="D39" s="11"/>
      <c r="E39" s="10"/>
      <c r="F39" s="10"/>
      <c r="G39" s="10"/>
    </row>
    <row r="47" spans="1:7" x14ac:dyDescent="0.3">
      <c r="A47" s="29" t="s">
        <v>34</v>
      </c>
      <c r="B47" s="29"/>
      <c r="C47" s="29"/>
      <c r="D47" s="29"/>
      <c r="E47" s="29"/>
      <c r="F47" s="30" t="s">
        <v>35</v>
      </c>
      <c r="G47" s="30"/>
    </row>
  </sheetData>
  <sheetProtection selectLockedCells="1"/>
  <mergeCells count="32">
    <mergeCell ref="A1:B5"/>
    <mergeCell ref="C1:E3"/>
    <mergeCell ref="F1:G1"/>
    <mergeCell ref="F2:G2"/>
    <mergeCell ref="F3:G3"/>
    <mergeCell ref="C4:E5"/>
    <mergeCell ref="F4:G4"/>
    <mergeCell ref="F5:G5"/>
    <mergeCell ref="A10:G10"/>
    <mergeCell ref="A11:G11"/>
    <mergeCell ref="A12:G12"/>
    <mergeCell ref="A14:G14"/>
    <mergeCell ref="B17:C17"/>
    <mergeCell ref="D17:E17"/>
    <mergeCell ref="B18:C18"/>
    <mergeCell ref="D18:E18"/>
    <mergeCell ref="B19:C19"/>
    <mergeCell ref="D19:E19"/>
    <mergeCell ref="B20:C20"/>
    <mergeCell ref="D20:E20"/>
    <mergeCell ref="A47:E47"/>
    <mergeCell ref="F47:G47"/>
    <mergeCell ref="A21:C21"/>
    <mergeCell ref="D21:G21"/>
    <mergeCell ref="A24:G24"/>
    <mergeCell ref="A26:A27"/>
    <mergeCell ref="B26:B27"/>
    <mergeCell ref="C26:C27"/>
    <mergeCell ref="D26:D27"/>
    <mergeCell ref="E26:E27"/>
    <mergeCell ref="F26:F27"/>
    <mergeCell ref="G26:G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="120" zoomScaleNormal="120" workbookViewId="0">
      <selection activeCell="G12" sqref="G12"/>
    </sheetView>
  </sheetViews>
  <sheetFormatPr baseColWidth="10" defaultColWidth="11.44140625" defaultRowHeight="13.8" x14ac:dyDescent="0.3"/>
  <cols>
    <col min="1" max="1" width="3.33203125" style="1" customWidth="1"/>
    <col min="2" max="2" width="11.44140625" style="1"/>
    <col min="3" max="3" width="13.6640625" style="1" customWidth="1"/>
    <col min="4" max="5" width="12.6640625" style="1" customWidth="1"/>
    <col min="6" max="6" width="11.44140625" style="1"/>
    <col min="7" max="7" width="16.33203125" style="1" customWidth="1"/>
    <col min="8" max="8" width="1.44140625" style="1" customWidth="1"/>
    <col min="9" max="16384" width="11.44140625" style="1"/>
  </cols>
  <sheetData>
    <row r="1" spans="2:8" ht="21.6" thickBot="1" x14ac:dyDescent="0.35">
      <c r="B1" s="38" t="s">
        <v>36</v>
      </c>
      <c r="C1" s="39"/>
      <c r="D1" s="39"/>
      <c r="E1" s="39"/>
      <c r="F1" s="39"/>
      <c r="G1" s="39"/>
      <c r="H1" s="40"/>
    </row>
    <row r="2" spans="2:8" ht="14.4" thickBot="1" x14ac:dyDescent="0.35"/>
    <row r="3" spans="2:8" ht="14.4" thickBot="1" x14ac:dyDescent="0.35">
      <c r="B3" s="35" t="s">
        <v>0</v>
      </c>
      <c r="C3" s="36"/>
      <c r="D3" s="36"/>
      <c r="E3" s="36"/>
      <c r="F3" s="36"/>
      <c r="G3" s="37"/>
    </row>
    <row r="4" spans="2:8" x14ac:dyDescent="0.3">
      <c r="B4" s="31" t="s">
        <v>1</v>
      </c>
      <c r="C4" s="32"/>
      <c r="D4" s="32"/>
      <c r="E4" s="43" t="s">
        <v>7</v>
      </c>
      <c r="F4" s="43"/>
      <c r="G4" s="44"/>
    </row>
    <row r="5" spans="2:8" x14ac:dyDescent="0.3">
      <c r="B5" s="33" t="s">
        <v>2</v>
      </c>
      <c r="C5" s="34"/>
      <c r="D5" s="34"/>
      <c r="E5" s="45" t="s">
        <v>11</v>
      </c>
      <c r="F5" s="45"/>
      <c r="G5" s="46"/>
    </row>
    <row r="6" spans="2:8" ht="14.4" thickBot="1" x14ac:dyDescent="0.35">
      <c r="B6" s="41" t="s">
        <v>38</v>
      </c>
      <c r="C6" s="42"/>
      <c r="D6" s="42"/>
      <c r="E6" s="22"/>
      <c r="F6" s="47" t="s">
        <v>40</v>
      </c>
      <c r="G6" s="48"/>
    </row>
    <row r="7" spans="2:8" ht="14.4" thickBot="1" x14ac:dyDescent="0.35"/>
    <row r="8" spans="2:8" ht="38.25" customHeight="1" thickBot="1" x14ac:dyDescent="0.35">
      <c r="B8" s="13" t="s">
        <v>39</v>
      </c>
      <c r="C8" s="14" t="s">
        <v>10</v>
      </c>
      <c r="D8" s="15" t="s">
        <v>8</v>
      </c>
    </row>
    <row r="9" spans="2:8" x14ac:dyDescent="0.25">
      <c r="B9" s="16"/>
      <c r="C9" s="25"/>
      <c r="D9" s="17" t="s">
        <v>9</v>
      </c>
    </row>
    <row r="10" spans="2:8" x14ac:dyDescent="0.25">
      <c r="B10" s="18"/>
      <c r="C10" s="26"/>
      <c r="D10" s="19" t="str">
        <f>IF(ISERROR(ABS(IF(ISBLANK(C9)," ",C9)-IF(ISBLANK(C10)," ",C10)))," ",ABS(C9-C10))</f>
        <v xml:space="preserve"> </v>
      </c>
    </row>
    <row r="11" spans="2:8" x14ac:dyDescent="0.25">
      <c r="B11" s="18"/>
      <c r="C11" s="26"/>
      <c r="D11" s="19" t="str">
        <f t="shared" ref="D11" si="0">IF(ISERROR(ABS(IF(ISBLANK(C10)," ",C10)-IF(ISBLANK(C11)," ",C11)))," ",ABS(C10-C11))</f>
        <v xml:space="preserve"> </v>
      </c>
    </row>
    <row r="12" spans="2:8" x14ac:dyDescent="0.25">
      <c r="B12" s="18"/>
      <c r="C12" s="23"/>
      <c r="D12" s="19"/>
    </row>
    <row r="13" spans="2:8" x14ac:dyDescent="0.25">
      <c r="B13" s="18"/>
      <c r="C13" s="23"/>
      <c r="D13" s="19"/>
    </row>
    <row r="14" spans="2:8" x14ac:dyDescent="0.25">
      <c r="B14" s="18"/>
      <c r="C14" s="23"/>
      <c r="D14" s="19"/>
    </row>
    <row r="15" spans="2:8" x14ac:dyDescent="0.25">
      <c r="B15" s="18"/>
      <c r="C15" s="23"/>
      <c r="D15" s="19"/>
    </row>
    <row r="16" spans="2:8" x14ac:dyDescent="0.25">
      <c r="B16" s="18"/>
      <c r="C16" s="23"/>
      <c r="D16" s="19"/>
    </row>
    <row r="17" spans="2:4" x14ac:dyDescent="0.25">
      <c r="B17" s="18"/>
      <c r="C17" s="23"/>
      <c r="D17" s="19"/>
    </row>
    <row r="18" spans="2:4" x14ac:dyDescent="0.25">
      <c r="B18" s="18"/>
      <c r="C18" s="23"/>
      <c r="D18" s="19"/>
    </row>
    <row r="19" spans="2:4" x14ac:dyDescent="0.25">
      <c r="B19" s="18"/>
      <c r="C19" s="23"/>
      <c r="D19" s="19"/>
    </row>
    <row r="20" spans="2:4" x14ac:dyDescent="0.25">
      <c r="B20" s="18"/>
      <c r="C20" s="23"/>
      <c r="D20" s="19"/>
    </row>
    <row r="21" spans="2:4" x14ac:dyDescent="0.25">
      <c r="B21" s="18"/>
      <c r="C21" s="23"/>
      <c r="D21" s="19"/>
    </row>
    <row r="22" spans="2:4" x14ac:dyDescent="0.25">
      <c r="B22" s="18"/>
      <c r="C22" s="23"/>
      <c r="D22" s="19"/>
    </row>
    <row r="23" spans="2:4" x14ac:dyDescent="0.25">
      <c r="B23" s="18"/>
      <c r="C23" s="23"/>
      <c r="D23" s="19"/>
    </row>
    <row r="24" spans="2:4" x14ac:dyDescent="0.25">
      <c r="B24" s="18"/>
      <c r="C24" s="23"/>
      <c r="D24" s="19"/>
    </row>
    <row r="25" spans="2:4" x14ac:dyDescent="0.25">
      <c r="B25" s="18"/>
      <c r="C25" s="23"/>
      <c r="D25" s="19"/>
    </row>
    <row r="26" spans="2:4" x14ac:dyDescent="0.25">
      <c r="B26" s="18"/>
      <c r="C26" s="23"/>
      <c r="D26" s="19"/>
    </row>
    <row r="27" spans="2:4" x14ac:dyDescent="0.25">
      <c r="B27" s="18"/>
      <c r="C27" s="23"/>
      <c r="D27" s="19"/>
    </row>
    <row r="28" spans="2:4" x14ac:dyDescent="0.25">
      <c r="B28" s="18"/>
      <c r="C28" s="23"/>
      <c r="D28" s="19"/>
    </row>
    <row r="29" spans="2:4" x14ac:dyDescent="0.25">
      <c r="B29" s="18"/>
      <c r="C29" s="23"/>
      <c r="D29" s="19"/>
    </row>
    <row r="30" spans="2:4" x14ac:dyDescent="0.25">
      <c r="B30" s="18"/>
      <c r="C30" s="23"/>
      <c r="D30" s="19"/>
    </row>
    <row r="31" spans="2:4" x14ac:dyDescent="0.25">
      <c r="B31" s="18"/>
      <c r="C31" s="23"/>
      <c r="D31" s="19"/>
    </row>
    <row r="32" spans="2:4" x14ac:dyDescent="0.25">
      <c r="B32" s="18"/>
      <c r="C32" s="23"/>
      <c r="D32" s="19"/>
    </row>
    <row r="33" spans="1:9" ht="14.4" thickBot="1" x14ac:dyDescent="0.3">
      <c r="B33" s="20"/>
      <c r="C33" s="24"/>
      <c r="D33" s="21"/>
    </row>
    <row r="35" spans="1:9" ht="14.4" thickBot="1" x14ac:dyDescent="0.35"/>
    <row r="36" spans="1:9" x14ac:dyDescent="0.3">
      <c r="B36" s="31" t="s">
        <v>6</v>
      </c>
      <c r="C36" s="32"/>
      <c r="D36" s="32"/>
      <c r="E36" s="2" t="e">
        <f>AVERAGE(C9:C33)</f>
        <v>#DIV/0!</v>
      </c>
    </row>
    <row r="37" spans="1:9" x14ac:dyDescent="0.3">
      <c r="B37" s="33" t="s">
        <v>5</v>
      </c>
      <c r="C37" s="34"/>
      <c r="D37" s="34"/>
      <c r="E37" s="3" t="e">
        <f>E36-(3*((AVERAGE(D10:D33))/1.128))</f>
        <v>#DIV/0!</v>
      </c>
    </row>
    <row r="38" spans="1:9" x14ac:dyDescent="0.3">
      <c r="B38" s="33" t="s">
        <v>4</v>
      </c>
      <c r="C38" s="34"/>
      <c r="D38" s="34"/>
      <c r="E38" s="3" t="e">
        <f>E36+(3*((AVERAGE(D10:D33))/1.128))</f>
        <v>#DIV/0!</v>
      </c>
    </row>
    <row r="39" spans="1:9" ht="14.4" thickBot="1" x14ac:dyDescent="0.35">
      <c r="B39" s="5" t="s">
        <v>3</v>
      </c>
      <c r="C39" s="6"/>
      <c r="D39" s="7">
        <v>0</v>
      </c>
      <c r="E39" s="4">
        <f>MAX($B$9:$B$33)</f>
        <v>0</v>
      </c>
    </row>
    <row r="45" spans="1:9" x14ac:dyDescent="0.3">
      <c r="A45" s="29" t="s">
        <v>34</v>
      </c>
      <c r="B45" s="29"/>
      <c r="C45" s="29"/>
      <c r="D45" s="29"/>
      <c r="E45" s="29"/>
      <c r="F45" s="29"/>
      <c r="G45" s="30" t="s">
        <v>37</v>
      </c>
      <c r="H45" s="30"/>
    </row>
    <row r="47" spans="1:9" x14ac:dyDescent="0.3">
      <c r="I47" s="12"/>
    </row>
  </sheetData>
  <sheetProtection selectLockedCells="1"/>
  <mergeCells count="13">
    <mergeCell ref="B3:G3"/>
    <mergeCell ref="B1:H1"/>
    <mergeCell ref="B4:D4"/>
    <mergeCell ref="B5:D5"/>
    <mergeCell ref="B6:D6"/>
    <mergeCell ref="E4:G4"/>
    <mergeCell ref="E5:G5"/>
    <mergeCell ref="F6:G6"/>
    <mergeCell ref="A45:F45"/>
    <mergeCell ref="G45:H45"/>
    <mergeCell ref="B36:D36"/>
    <mergeCell ref="B37:D37"/>
    <mergeCell ref="B38:D3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Control</vt:lpstr>
      <vt:lpstr>Datos</vt:lpstr>
      <vt:lpstr>Grafica Carta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SOFT-G-001</dc:title>
  <dc:creator/>
  <cp:keywords>Autor METRyCAL</cp:keywords>
  <dc:description>Autor de documento original: LOGC750219</dc:description>
  <cp:lastModifiedBy/>
  <dcterms:created xsi:type="dcterms:W3CDTF">2009-08-10T03:03:03Z</dcterms:created>
  <dcterms:modified xsi:type="dcterms:W3CDTF">2026-04-10T22:24:42Z</dcterms:modified>
</cp:coreProperties>
</file>