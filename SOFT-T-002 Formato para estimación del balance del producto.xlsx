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sse Gutierrez\Desktop\GESTORIA\SGM\SGM MACHOTE FINAL\Anexo 3 - Software\SOFT-T-002 Formato para estimación del balance del producto\"/>
    </mc:Choice>
  </mc:AlternateContent>
  <xr:revisionPtr revIDLastSave="0" documentId="13_ncr:1_{CDD21847-95AA-4C17-9051-4A1E292D96DD}" xr6:coauthVersionLast="47" xr6:coauthVersionMax="47" xr10:uidLastSave="{00000000-0000-0000-0000-000000000000}"/>
  <bookViews>
    <workbookView xWindow="-108" yWindow="-108" windowWidth="23256" windowHeight="12456" xr2:uid="{4DC0A8D1-04E5-415A-8714-18DDC2BBA5C6}"/>
  </bookViews>
  <sheets>
    <sheet name="Control" sheetId="8" r:id="rId1"/>
    <sheet name="Inventario Inicial" sheetId="1" r:id="rId2"/>
    <sheet name="Derivadas Entradas" sheetId="2" state="hidden" r:id="rId3"/>
    <sheet name="Inventario Final" sheetId="7" r:id="rId4"/>
    <sheet name="Presupuesto de U Salidas" sheetId="4" r:id="rId5"/>
    <sheet name="Derivadas Salidas" sheetId="5" state="hidden" r:id="rId6"/>
    <sheet name="Balanc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4" i="1" l="1"/>
  <c r="K122" i="1"/>
  <c r="I108" i="1"/>
  <c r="I118" i="1"/>
  <c r="L112" i="1"/>
  <c r="L120" i="1"/>
  <c r="B31" i="1"/>
  <c r="B34" i="4" l="1"/>
  <c r="B46" i="4"/>
  <c r="I66" i="4"/>
  <c r="B38" i="4"/>
  <c r="I102" i="7"/>
  <c r="I100" i="7"/>
  <c r="E70" i="4" l="1"/>
  <c r="K66" i="4"/>
  <c r="I64" i="4"/>
  <c r="K64" i="4" s="1"/>
  <c r="I58" i="4"/>
  <c r="C46" i="4"/>
  <c r="K138" i="7" l="1"/>
  <c r="K130" i="7"/>
  <c r="K122" i="7" l="1"/>
  <c r="K138" i="1"/>
  <c r="K132" i="1"/>
  <c r="E132" i="1" l="1"/>
  <c r="K130" i="1"/>
  <c r="E60" i="4" l="1"/>
  <c r="E104" i="1"/>
  <c r="I76" i="4" l="1"/>
  <c r="K76" i="4" s="1"/>
  <c r="I118" i="7"/>
  <c r="E92" i="1"/>
  <c r="B30" i="1"/>
  <c r="M76" i="4" l="1"/>
  <c r="N76" i="4" s="1"/>
  <c r="M74" i="4" l="1"/>
  <c r="K74" i="4"/>
  <c r="K72" i="4"/>
  <c r="M72" i="4" s="1"/>
  <c r="K62" i="4"/>
  <c r="E58" i="4" l="1"/>
  <c r="L68" i="4" s="1"/>
  <c r="G31" i="4"/>
  <c r="K132" i="7" l="1"/>
  <c r="E132" i="7"/>
  <c r="E130" i="7"/>
  <c r="E112" i="7"/>
  <c r="E108" i="7"/>
  <c r="E106" i="7"/>
  <c r="I106" i="7" s="1"/>
  <c r="E104" i="7"/>
  <c r="K102" i="7"/>
  <c r="E92" i="7"/>
  <c r="B30" i="7"/>
  <c r="I104" i="7" l="1"/>
  <c r="K104" i="7" s="1"/>
  <c r="K140" i="7"/>
  <c r="M138" i="7"/>
  <c r="N138" i="7" s="1"/>
  <c r="E138" i="7"/>
  <c r="M130" i="7"/>
  <c r="N130" i="7" s="1"/>
  <c r="K126" i="7"/>
  <c r="M126" i="7" s="1"/>
  <c r="N126" i="7" s="1"/>
  <c r="K124" i="7"/>
  <c r="M124" i="7" s="1"/>
  <c r="N124" i="7" s="1"/>
  <c r="M122" i="7"/>
  <c r="N122" i="7" s="1"/>
  <c r="L120" i="7"/>
  <c r="E120" i="7"/>
  <c r="K118" i="7"/>
  <c r="M118" i="7" s="1"/>
  <c r="N118" i="7" s="1"/>
  <c r="K116" i="7"/>
  <c r="M116" i="7" s="1"/>
  <c r="N116" i="7" s="1"/>
  <c r="K114" i="7"/>
  <c r="M114" i="7" s="1"/>
  <c r="N114" i="7" s="1"/>
  <c r="L112" i="7"/>
  <c r="E102" i="7"/>
  <c r="K100" i="7"/>
  <c r="E100" i="7"/>
  <c r="K98" i="7"/>
  <c r="M98" i="7" s="1"/>
  <c r="N98" i="7" s="1"/>
  <c r="K96" i="7"/>
  <c r="M96" i="7" s="1"/>
  <c r="N96" i="7" s="1"/>
  <c r="K94" i="7"/>
  <c r="M94" i="7" s="1"/>
  <c r="N94" i="7" s="1"/>
  <c r="C52" i="7"/>
  <c r="C53" i="7" s="1"/>
  <c r="C56" i="7" s="1"/>
  <c r="C57" i="7" s="1"/>
  <c r="C61" i="7" s="1"/>
  <c r="C62" i="7" s="1"/>
  <c r="C66" i="7" s="1"/>
  <c r="C67" i="7" s="1"/>
  <c r="C71" i="7" s="1"/>
  <c r="C72" i="7" s="1"/>
  <c r="K106" i="7"/>
  <c r="K140" i="1"/>
  <c r="E130" i="1"/>
  <c r="M122" i="1"/>
  <c r="N122" i="1" s="1"/>
  <c r="K118" i="1"/>
  <c r="K116" i="1"/>
  <c r="K114" i="1"/>
  <c r="E112" i="1"/>
  <c r="E110" i="1"/>
  <c r="E108" i="1"/>
  <c r="K102" i="1"/>
  <c r="K100" i="1"/>
  <c r="K120" i="7" l="1"/>
  <c r="M120" i="7"/>
  <c r="N120" i="7" s="1"/>
  <c r="K112" i="7"/>
  <c r="M112" i="7" s="1"/>
  <c r="N112" i="7" s="1"/>
  <c r="K110" i="7" s="1"/>
  <c r="K92" i="7"/>
  <c r="K104" i="1"/>
  <c r="E110" i="7"/>
  <c r="C75" i="7"/>
  <c r="B31" i="7"/>
  <c r="C76" i="7"/>
  <c r="E136" i="7" s="1"/>
  <c r="I142" i="7" s="1"/>
  <c r="I108" i="7"/>
  <c r="K108" i="7" s="1"/>
  <c r="B32" i="7" l="1"/>
  <c r="C78" i="7"/>
  <c r="C83" i="7" s="1"/>
  <c r="H3" i="6" s="1"/>
  <c r="E128" i="7"/>
  <c r="C73" i="7"/>
  <c r="B27" i="4" s="1"/>
  <c r="B35" i="4" s="1"/>
  <c r="B36" i="4" s="1"/>
  <c r="L128" i="7"/>
  <c r="H9" i="6" l="1"/>
  <c r="H5" i="6"/>
  <c r="L60" i="4"/>
  <c r="E68" i="4"/>
  <c r="L58" i="4"/>
  <c r="L70" i="4"/>
  <c r="L102" i="7"/>
  <c r="M102" i="7" s="1"/>
  <c r="N102" i="7" s="1"/>
  <c r="L104" i="7"/>
  <c r="M104" i="7" s="1"/>
  <c r="N104" i="7" s="1"/>
  <c r="L100" i="7"/>
  <c r="M100" i="7" s="1"/>
  <c r="N100" i="7" s="1"/>
  <c r="L132" i="7"/>
  <c r="M132" i="7" s="1"/>
  <c r="N132" i="7" s="1"/>
  <c r="I134" i="7"/>
  <c r="K134" i="7" s="1"/>
  <c r="M134" i="7" s="1"/>
  <c r="N134" i="7" s="1"/>
  <c r="L136" i="7"/>
  <c r="L140" i="7"/>
  <c r="M140" i="7" s="1"/>
  <c r="N140" i="7" s="1"/>
  <c r="K142" i="7"/>
  <c r="M142" i="7" s="1"/>
  <c r="N142" i="7" s="1"/>
  <c r="L110" i="7"/>
  <c r="M110" i="7" s="1"/>
  <c r="N110" i="7" s="1"/>
  <c r="L92" i="7"/>
  <c r="M92" i="7" s="1"/>
  <c r="N92" i="7" s="1"/>
  <c r="L106" i="7"/>
  <c r="M106" i="7" s="1"/>
  <c r="N106" i="7" s="1"/>
  <c r="L108" i="7"/>
  <c r="M108" i="7" s="1"/>
  <c r="N108" i="7" s="1"/>
  <c r="I68" i="4" l="1"/>
  <c r="K68" i="4" s="1"/>
  <c r="M68" i="4" s="1"/>
  <c r="H10" i="6"/>
  <c r="K136" i="7"/>
  <c r="M136" i="7" s="1"/>
  <c r="N136" i="7" s="1"/>
  <c r="K128" i="7"/>
  <c r="M128" i="7" s="1"/>
  <c r="N128" i="7" s="1"/>
  <c r="N144" i="7" l="1"/>
  <c r="N145" i="7" s="1"/>
  <c r="N146" i="7" s="1"/>
  <c r="N3" i="6" s="1"/>
  <c r="O100" i="7" l="1"/>
  <c r="O128" i="7"/>
  <c r="O108" i="7"/>
  <c r="O136" i="7"/>
  <c r="N147" i="7"/>
  <c r="K3" i="6" s="1"/>
  <c r="O104" i="7"/>
  <c r="O102" i="7"/>
  <c r="O110" i="7"/>
  <c r="O106" i="7"/>
  <c r="O92" i="7"/>
  <c r="O144" i="7" l="1"/>
  <c r="K98" i="1"/>
  <c r="K96" i="1"/>
  <c r="M96" i="1" s="1"/>
  <c r="N96" i="1" s="1"/>
  <c r="K94" i="1"/>
  <c r="M94" i="1" s="1"/>
  <c r="N94" i="1" s="1"/>
  <c r="C52" i="1"/>
  <c r="N74" i="4" l="1"/>
  <c r="N72" i="4"/>
  <c r="K70" i="4" s="1"/>
  <c r="M62" i="4"/>
  <c r="N62" i="4" s="1"/>
  <c r="M66" i="4"/>
  <c r="N66" i="4" s="1"/>
  <c r="M64" i="4"/>
  <c r="N64" i="4" s="1"/>
  <c r="K58" i="4"/>
  <c r="K60" i="4" l="1"/>
  <c r="M60" i="4" s="1"/>
  <c r="M58" i="4"/>
  <c r="N58" i="4" s="1"/>
  <c r="N68" i="4" l="1"/>
  <c r="M70" i="4"/>
  <c r="N70" i="4" s="1"/>
  <c r="N60" i="4"/>
  <c r="N78" i="4" l="1"/>
  <c r="N79" i="4" s="1"/>
  <c r="N80" i="4" s="1"/>
  <c r="N5" i="6" s="1"/>
  <c r="P5" i="6" s="1"/>
  <c r="E138" i="1"/>
  <c r="M138" i="1"/>
  <c r="N138" i="1" s="1"/>
  <c r="M130" i="1"/>
  <c r="N130" i="1" s="1"/>
  <c r="K126" i="1"/>
  <c r="M126" i="1" s="1"/>
  <c r="N126" i="1" s="1"/>
  <c r="M124" i="1"/>
  <c r="N124" i="1" s="1"/>
  <c r="M118" i="1"/>
  <c r="N118" i="1" s="1"/>
  <c r="M116" i="1"/>
  <c r="N116" i="1" s="1"/>
  <c r="M114" i="1"/>
  <c r="N114" i="1" s="1"/>
  <c r="E120" i="1"/>
  <c r="K108" i="1"/>
  <c r="E106" i="1"/>
  <c r="E102" i="1"/>
  <c r="E100" i="1"/>
  <c r="M98" i="1"/>
  <c r="N98" i="1" s="1"/>
  <c r="K92" i="1" s="1"/>
  <c r="C53" i="1"/>
  <c r="C56" i="1" s="1"/>
  <c r="C57" i="1" s="1"/>
  <c r="C61" i="1" s="1"/>
  <c r="C62" i="1" s="1"/>
  <c r="C66" i="1" s="1"/>
  <c r="C67" i="1" s="1"/>
  <c r="C71" i="1" s="1"/>
  <c r="C72" i="1" s="1"/>
  <c r="K120" i="1" l="1"/>
  <c r="M120" i="1" s="1"/>
  <c r="N120" i="1" s="1"/>
  <c r="K112" i="1"/>
  <c r="M112" i="1" s="1"/>
  <c r="N112" i="1" s="1"/>
  <c r="C76" i="1"/>
  <c r="E136" i="1" s="1"/>
  <c r="I142" i="1" s="1"/>
  <c r="C75" i="1"/>
  <c r="E128" i="1" s="1"/>
  <c r="I134" i="1" s="1"/>
  <c r="N81" i="4"/>
  <c r="K106" i="1"/>
  <c r="R5" i="6"/>
  <c r="O60" i="4"/>
  <c r="O58" i="4"/>
  <c r="O68" i="4"/>
  <c r="O70" i="4"/>
  <c r="S5" i="6" l="1"/>
  <c r="U5" i="6"/>
  <c r="K110" i="1"/>
  <c r="L128" i="1"/>
  <c r="C78" i="1"/>
  <c r="L140" i="1"/>
  <c r="M140" i="1" s="1"/>
  <c r="N140" i="1" s="1"/>
  <c r="K142" i="1"/>
  <c r="M142" i="1" s="1"/>
  <c r="N142" i="1" s="1"/>
  <c r="K5" i="6"/>
  <c r="K13" i="6" s="1"/>
  <c r="N13" i="6" s="1"/>
  <c r="P13" i="6" s="1"/>
  <c r="R13" i="6" s="1"/>
  <c r="S13" i="6" s="1"/>
  <c r="C73" i="1"/>
  <c r="O78" i="4"/>
  <c r="B32" i="1"/>
  <c r="L106" i="1" l="1"/>
  <c r="M106" i="1" s="1"/>
  <c r="N106" i="1" s="1"/>
  <c r="L104" i="1"/>
  <c r="M104" i="1" s="1"/>
  <c r="N104" i="1" s="1"/>
  <c r="K136" i="1"/>
  <c r="L132" i="1"/>
  <c r="M132" i="1" s="1"/>
  <c r="N132" i="1" s="1"/>
  <c r="K134" i="1"/>
  <c r="M134" i="1" s="1"/>
  <c r="N134" i="1" s="1"/>
  <c r="L136" i="1"/>
  <c r="C83" i="1"/>
  <c r="H2" i="6" s="1"/>
  <c r="H15" i="6" s="1"/>
  <c r="L92" i="1"/>
  <c r="M92" i="1" s="1"/>
  <c r="N92" i="1" s="1"/>
  <c r="L110" i="1"/>
  <c r="M110" i="1" s="1"/>
  <c r="N110" i="1" s="1"/>
  <c r="L108" i="1"/>
  <c r="M108" i="1" s="1"/>
  <c r="N108" i="1" s="1"/>
  <c r="W5" i="6"/>
  <c r="L100" i="1"/>
  <c r="M100" i="1" s="1"/>
  <c r="N100" i="1" s="1"/>
  <c r="L102" i="1"/>
  <c r="M102" i="1" s="1"/>
  <c r="N102" i="1" s="1"/>
  <c r="M136" i="1" l="1"/>
  <c r="N136" i="1" s="1"/>
  <c r="K128" i="1"/>
  <c r="M128" i="1" s="1"/>
  <c r="N128" i="1" s="1"/>
  <c r="W6" i="6"/>
  <c r="W7" i="6"/>
  <c r="V5" i="6"/>
  <c r="V6" i="6"/>
  <c r="X7" i="6"/>
  <c r="X6" i="6" l="1"/>
  <c r="N144" i="1"/>
  <c r="N145" i="1" s="1"/>
  <c r="N146" i="1" s="1"/>
  <c r="N2" i="6" s="1"/>
  <c r="P2" i="6" s="1"/>
  <c r="R2" i="6" s="1"/>
  <c r="S2" i="6" s="1"/>
  <c r="X5" i="6"/>
  <c r="X9" i="6" s="1"/>
  <c r="S9" i="6" s="1"/>
  <c r="S10" i="6" s="1"/>
  <c r="S11" i="6" s="1"/>
  <c r="T11" i="6" s="1"/>
  <c r="O104" i="1" l="1"/>
  <c r="O128" i="1"/>
  <c r="O100" i="1"/>
  <c r="O136" i="1"/>
  <c r="O92" i="1"/>
  <c r="O110" i="1"/>
  <c r="O102" i="1"/>
  <c r="O108" i="1"/>
  <c r="O106" i="1"/>
  <c r="N147" i="1"/>
  <c r="K2" i="6" s="1"/>
  <c r="P3" i="6"/>
  <c r="R3" i="6" s="1"/>
  <c r="S3" i="6" s="1"/>
  <c r="O144" i="1" l="1"/>
  <c r="S16" i="6"/>
  <c r="S22" i="6"/>
  <c r="S23" i="6" s="1"/>
  <c r="S24" i="6" s="1"/>
  <c r="S17" i="6" l="1"/>
  <c r="S18" i="6" s="1"/>
  <c r="I18" i="6" s="1"/>
  <c r="J1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Cecilia Martínez </author>
  </authors>
  <commentList>
    <comment ref="B14" authorId="0" shapeId="0" xr:uid="{449D582C-45E4-4298-9E25-24E0481B8F68}">
      <text>
        <r>
          <rPr>
            <sz val="9"/>
            <color indexed="81"/>
            <rFont val="Tahoma"/>
            <family val="2"/>
          </rPr>
          <t>Altura propuesta al interpolar el volumen indicado en el Inventario Inicial (16,112.75 litros)</t>
        </r>
      </text>
    </comment>
    <comment ref="B17" authorId="0" shapeId="0" xr:uid="{87B74F5C-C192-41E2-8BCD-96BE966374E7}">
      <text>
        <r>
          <rPr>
            <sz val="9"/>
            <color indexed="81"/>
            <rFont val="Tahoma"/>
            <family val="2"/>
          </rPr>
          <t>Se divide por el factor de conversión para conseguir, de litros a metros cúbicos</t>
        </r>
      </text>
    </comment>
    <comment ref="B18" authorId="0" shapeId="0" xr:uid="{29775864-6E45-4E3B-974D-B760E767E358}">
      <text>
        <r>
          <rPr>
            <sz val="9"/>
            <color indexed="81"/>
            <rFont val="Tahoma"/>
            <family val="2"/>
          </rPr>
          <t>Se divide por el factor de conversión para conseguir, de litros a metros cúbicos</t>
        </r>
      </text>
    </comment>
    <comment ref="B19" authorId="0" shapeId="0" xr:uid="{34CD71F0-9D91-4A5D-BA05-69F679631DCF}">
      <text>
        <r>
          <rPr>
            <sz val="9"/>
            <color indexed="81"/>
            <rFont val="Tahoma"/>
            <family val="2"/>
          </rPr>
          <t>Extraído del certificado de VOLUMEN</t>
        </r>
      </text>
    </comment>
    <comment ref="B22" authorId="0" shapeId="0" xr:uid="{C22110CB-BB83-46F0-B313-6A4999981DD1}">
      <text>
        <r>
          <rPr>
            <sz val="9"/>
            <color indexed="81"/>
            <rFont val="Tahoma"/>
            <family val="2"/>
          </rPr>
          <t>Se considera la misma temperatura que la del líquido, ya que es un Tanque Subterráneo</t>
        </r>
      </text>
    </comment>
    <comment ref="B25" authorId="0" shapeId="0" xr:uid="{A3C4E99F-ADD6-4CFA-BF34-04CC73F676AA}">
      <text>
        <r>
          <rPr>
            <sz val="9"/>
            <color indexed="81"/>
            <rFont val="Tahoma"/>
            <family val="2"/>
          </rPr>
          <t>Densidad arrojada del muestreo</t>
        </r>
      </text>
    </comment>
    <comment ref="B26" authorId="0" shapeId="0" xr:uid="{916B879D-790E-4538-BA7D-7E69BFABDA3A}">
      <text>
        <r>
          <rPr>
            <sz val="9"/>
            <color indexed="81"/>
            <rFont val="Tahoma"/>
            <family val="2"/>
          </rPr>
          <t>Temperatura arrojada del muestreo</t>
        </r>
      </text>
    </comment>
    <comment ref="I94" authorId="0" shapeId="0" xr:uid="{F46CE3F5-6561-4523-83E5-05FD8889AFE4}">
      <text>
        <r>
          <rPr>
            <sz val="9"/>
            <color indexed="81"/>
            <rFont val="Tahoma"/>
            <family val="2"/>
          </rPr>
          <t>Incertidumbre de un Sensor de Nivel según la RES/811 (Tabla 3. Especificaciones metrológicas para los sistemas de medición en tanques verticales)</t>
        </r>
      </text>
    </comment>
    <comment ref="I100" authorId="0" shapeId="0" xr:uid="{C5D6162A-C6B9-4D78-BB31-98C6D71666F4}">
      <text>
        <r>
          <rPr>
            <b/>
            <sz val="9"/>
            <color indexed="81"/>
            <rFont val="Tahoma"/>
            <family val="2"/>
          </rPr>
          <t>Dato obtenido del certificado de calibracion a una altura de 1.492</t>
        </r>
      </text>
    </comment>
    <comment ref="I104" authorId="0" shapeId="0" xr:uid="{F17C3898-7C06-481F-B861-1BA4121242C0}">
      <text>
        <r>
          <rPr>
            <sz val="9"/>
            <color indexed="81"/>
            <rFont val="Tahoma"/>
            <family val="2"/>
          </rPr>
          <t>El 0.12% de la incertidumbre del volumen lo obtuvimos del certificado de calibracion de VOLUMEN.
Lo multiplicamos por el volumen para obtener el valor de la incertidumbre
en m3</t>
        </r>
      </text>
    </comment>
    <comment ref="I106" authorId="0" shapeId="0" xr:uid="{84DA1665-D402-4674-89BE-5D260A45A889}">
      <text>
        <r>
          <rPr>
            <sz val="9"/>
            <color indexed="81"/>
            <rFont val="Tahoma"/>
            <family val="2"/>
          </rPr>
          <t>El 0.12% de la incertidumbre del volumen lo obtuvimos del certificado de calibracion de VOLUMEN.
Lo multiplicamos por el volumen para obtener el valor de la incertidumbre
en m3</t>
        </r>
      </text>
    </comment>
    <comment ref="I108" authorId="0" shapeId="0" xr:uid="{3772B967-36BF-4444-ABD0-0AD0F79F5F6F}">
      <text>
        <r>
          <rPr>
            <b/>
            <sz val="9"/>
            <color indexed="81"/>
            <rFont val="Tahoma"/>
            <family val="2"/>
          </rPr>
          <t>Se multiplica por 10%; se considera así cuando se toma el dato de una bibliografía</t>
        </r>
      </text>
    </comment>
    <comment ref="L112" authorId="0" shapeId="0" xr:uid="{92A88273-EE83-49B7-8546-3FC5F7D8A909}">
      <text>
        <r>
          <rPr>
            <b/>
            <sz val="9"/>
            <color indexed="81"/>
            <rFont val="Tahoma"/>
            <family val="2"/>
          </rPr>
          <t>Derivada de ts 1/8</t>
        </r>
      </text>
    </comment>
    <comment ref="I114" authorId="0" shapeId="0" xr:uid="{0F490A89-3A87-4977-9F60-1DB25B8362DF}">
      <text>
        <r>
          <rPr>
            <sz val="9"/>
            <color indexed="81"/>
            <rFont val="Tahoma"/>
            <family val="2"/>
          </rPr>
          <t>Incertidumbre para un Sensor de Temperatura según la RES/811 (Tabla 3. Especificaciones metrológicas para los sistemas de medición en tanques verticales)</t>
        </r>
      </text>
    </comment>
    <comment ref="I118" authorId="0" shapeId="0" xr:uid="{B750C200-D7F1-42AC-8E22-10AB4BA9CFCC}">
      <text>
        <r>
          <rPr>
            <sz val="9"/>
            <color indexed="81"/>
            <rFont val="Tahoma"/>
            <family val="2"/>
          </rPr>
          <t>Se considera como un diferencial de temperaturas entre los inventarios final e inicial</t>
        </r>
      </text>
    </comment>
    <comment ref="L120" authorId="0" shapeId="0" xr:uid="{62A65B68-30D3-4530-AA7D-D1FD65FE9895}">
      <text>
        <r>
          <rPr>
            <b/>
            <sz val="9"/>
            <color indexed="81"/>
            <rFont val="Tahoma"/>
            <family val="2"/>
          </rPr>
          <t>Se deriva con respecto a 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2" authorId="0" shapeId="0" xr:uid="{FDDDC252-2F4B-46F7-AE9A-B866358CE41D}">
      <text>
        <r>
          <rPr>
            <sz val="9"/>
            <color indexed="81"/>
            <rFont val="Tahoma"/>
            <family val="2"/>
          </rPr>
          <t>Valor típico, extraído del manual de un termohigrobarómetro 
https://twilight.mx/manuales/LT-MHB382SD-24-LT-MHB382SD.pdf?srsltid=AfmBOor8KNvneQN18rPEKYH8JFrhIKyNuImmIeQnbMa63SSdK_D4bmKg</t>
        </r>
      </text>
    </comment>
    <comment ref="I124" authorId="0" shapeId="0" xr:uid="{1DF9691D-2683-42F3-8A9B-628D7A644564}">
      <text>
        <r>
          <rPr>
            <sz val="9"/>
            <color indexed="81"/>
            <rFont val="Tahoma"/>
            <family val="2"/>
          </rPr>
          <t>Valor típico, extraído del manual de un termohigrobarómetro 
https://twilight.mx/manuales/LT-MHB382SD-24-LT-MHB382SD.pdf?srsltid=AfmBOor8KNvneQN18rPEKYH8JFrhIKyNuImmIeQnbMa63SSdK_D4bmKg</t>
        </r>
      </text>
    </comment>
    <comment ref="I130" authorId="0" shapeId="0" xr:uid="{DD0573B8-860C-42FC-8592-4D228E3E07B7}">
      <text>
        <r>
          <rPr>
            <sz val="9"/>
            <color indexed="81"/>
            <rFont val="Tahoma"/>
            <family val="2"/>
          </rPr>
          <t>Valor típico de la Incertidumbre de un densímetro</t>
        </r>
      </text>
    </comment>
    <comment ref="I132" authorId="0" shapeId="0" xr:uid="{D36D3D86-591B-4D46-8E5A-B5C53788ED81}">
      <text>
        <r>
          <rPr>
            <sz val="9"/>
            <color indexed="81"/>
            <rFont val="Tahoma"/>
            <family val="2"/>
          </rPr>
          <t>Incertidumbre de un Sensor de Temperatura según la RES/811 (Tabla 3. Especificaciones metrológicas para los sistemas de medición en tanques verticales)</t>
        </r>
      </text>
    </comment>
    <comment ref="I134" authorId="0" shapeId="0" xr:uid="{694FFD86-36AD-45AE-ACA4-CF7ABD466525}">
      <text>
        <r>
          <rPr>
            <sz val="9"/>
            <color indexed="81"/>
            <rFont val="Tahoma"/>
            <family val="2"/>
          </rPr>
          <t>Lo determina la Norma de API MPMS CAP. 11.1
el 0.15% de u</t>
        </r>
      </text>
    </comment>
    <comment ref="I138" authorId="0" shapeId="0" xr:uid="{A07CB2FE-5CFF-4790-BE70-CB17B255CF03}">
      <text>
        <r>
          <rPr>
            <sz val="9"/>
            <color indexed="81"/>
            <rFont val="Tahoma"/>
            <family val="2"/>
          </rPr>
          <t>Valor típico de la Incertidumbre de un densímetro</t>
        </r>
      </text>
    </comment>
    <comment ref="E140" authorId="0" shapeId="0" xr:uid="{68799DB0-4274-4BCE-B066-8C9DE262BC00}">
      <text>
        <r>
          <rPr>
            <b/>
            <sz val="9"/>
            <color indexed="81"/>
            <rFont val="Tahoma"/>
            <family val="2"/>
          </rPr>
          <t>Por tratarse de ρ20</t>
        </r>
      </text>
    </comment>
    <comment ref="I140" authorId="0" shapeId="0" xr:uid="{AE1F906A-7DA9-4BEC-AF56-B09EEB0F4D1E}">
      <text>
        <r>
          <rPr>
            <sz val="9"/>
            <color indexed="81"/>
            <rFont val="Tahoma"/>
            <family val="2"/>
          </rPr>
          <t>Incertidumbre de un Sensor de Temperatura según la RES/811 (Tabla 3. Especificaciones metrológicas para los sistemas de medición en tanques verticales)</t>
        </r>
      </text>
    </comment>
    <comment ref="I142" authorId="0" shapeId="0" xr:uid="{6BB6B825-7351-49DC-8F78-B7DAD0B66767}">
      <text>
        <r>
          <rPr>
            <sz val="9"/>
            <color indexed="81"/>
            <rFont val="Tahoma"/>
            <family val="2"/>
          </rPr>
          <t>Lo determina la Norma de API MPMS CAP. 11.1
el 0.15% de 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Cecilia Martínez </author>
  </authors>
  <commentList>
    <comment ref="B14" authorId="0" shapeId="0" xr:uid="{70A29A7B-2B15-4947-BE4C-ADE39090D9B0}">
      <text>
        <r>
          <rPr>
            <sz val="9"/>
            <color indexed="81"/>
            <rFont val="Tahoma"/>
            <family val="2"/>
          </rPr>
          <t>Altura propuesta al interpolar el volumen indicado en el Inventario Final (36,097.55 litros)</t>
        </r>
      </text>
    </comment>
    <comment ref="B17" authorId="0" shapeId="0" xr:uid="{9ACBA0BF-E7A1-4B80-8629-055E9E9389A0}">
      <text>
        <r>
          <rPr>
            <sz val="9"/>
            <color indexed="81"/>
            <rFont val="Tahoma"/>
            <family val="2"/>
          </rPr>
          <t>Se divide por el factor de conversión para conseguir, de litros a metros cúbicos</t>
        </r>
      </text>
    </comment>
    <comment ref="B18" authorId="0" shapeId="0" xr:uid="{60E7ADD7-2AC1-45F9-95C3-26E7CC7C13DD}">
      <text>
        <r>
          <rPr>
            <sz val="9"/>
            <color indexed="81"/>
            <rFont val="Tahoma"/>
            <family val="2"/>
          </rPr>
          <t>Se divide por el factor de conversión para conseguir, de litros a metros cúbicos</t>
        </r>
      </text>
    </comment>
    <comment ref="B19" authorId="0" shapeId="0" xr:uid="{D9C565DA-3F5B-4537-9F68-A7B349322496}">
      <text>
        <r>
          <rPr>
            <sz val="9"/>
            <color indexed="81"/>
            <rFont val="Tahoma"/>
            <family val="2"/>
          </rPr>
          <t>Extraído del certificado de VOLUMEN</t>
        </r>
      </text>
    </comment>
    <comment ref="B22" authorId="0" shapeId="0" xr:uid="{4BC0A374-08C1-46A4-B725-B06DB9D28E42}">
      <text>
        <r>
          <rPr>
            <sz val="9"/>
            <color indexed="81"/>
            <rFont val="Tahoma"/>
            <family val="2"/>
          </rPr>
          <t>Se considera la misma temperatura que la del líquido, ya que es un Tanque Subterráneo</t>
        </r>
      </text>
    </comment>
    <comment ref="B25" authorId="0" shapeId="0" xr:uid="{135FC797-E44B-436F-8E15-ACDAEECCBB6F}">
      <text>
        <r>
          <rPr>
            <sz val="9"/>
            <color indexed="81"/>
            <rFont val="Tahoma"/>
            <family val="2"/>
          </rPr>
          <t>Densidad arrojada del muestreo</t>
        </r>
      </text>
    </comment>
    <comment ref="B26" authorId="0" shapeId="0" xr:uid="{6F63E782-D70A-4F18-8D4D-C147EB694D1E}">
      <text>
        <r>
          <rPr>
            <sz val="9"/>
            <color indexed="81"/>
            <rFont val="Tahoma"/>
            <family val="2"/>
          </rPr>
          <t>Temperatura propuesta (no viene en el certificado/tabla-cubicación)</t>
        </r>
      </text>
    </comment>
    <comment ref="G92" authorId="0" shapeId="0" xr:uid="{EE5F2FF5-CF9E-416C-A818-DAE857463A6A}">
      <text>
        <r>
          <rPr>
            <b/>
            <sz val="9"/>
            <color indexed="81"/>
            <rFont val="Tahoma"/>
            <family val="2"/>
          </rPr>
          <t xml:space="preserve">Como se determina el valor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94" authorId="0" shapeId="0" xr:uid="{42B18291-7884-469E-89CD-0FC10DC38A25}">
      <text>
        <r>
          <rPr>
            <sz val="9"/>
            <color indexed="81"/>
            <rFont val="Tahoma"/>
            <family val="2"/>
          </rPr>
          <t>Incertidumbre de un Sensor de Nivel según la RES/811 (Tabla 3. Especificaciones metrológicas para los sistemas de medición en tanques verticales)</t>
        </r>
      </text>
    </comment>
    <comment ref="J94" authorId="0" shapeId="0" xr:uid="{AB4601B6-C079-4089-A430-11422BE05AA5}">
      <text>
        <r>
          <rPr>
            <b/>
            <sz val="9"/>
            <color indexed="81"/>
            <rFont val="Tahoma"/>
            <family val="2"/>
          </rPr>
          <t>Porque es de un certificado</t>
        </r>
      </text>
    </comment>
    <comment ref="I96" authorId="0" shapeId="0" xr:uid="{77BE01EC-2A70-4A0A-B8F9-7DF0CDD26BAD}">
      <text>
        <r>
          <rPr>
            <b/>
            <sz val="9"/>
            <color indexed="81"/>
            <rFont val="Tahoma"/>
            <family val="2"/>
          </rPr>
          <t xml:space="preserve">1 mm, de la RES/811
</t>
        </r>
      </text>
    </comment>
    <comment ref="G98" authorId="0" shapeId="0" xr:uid="{556AA979-B8D3-46FE-8C21-5D1D4C323502}">
      <text>
        <r>
          <rPr>
            <sz val="9"/>
            <color indexed="81"/>
            <rFont val="Tahoma"/>
            <family val="2"/>
          </rPr>
          <t>Valor propuesto, derivado de las condiciones ambientales en las que se realizó la prueba.</t>
        </r>
      </text>
    </comment>
    <comment ref="I100" authorId="0" shapeId="0" xr:uid="{BCD4F6BB-EC19-468A-829F-16981D5F0097}">
      <text>
        <r>
          <rPr>
            <b/>
            <sz val="9"/>
            <color indexed="81"/>
            <rFont val="Tahoma"/>
            <family val="2"/>
          </rPr>
          <t>Dato obtenido del certificado de calibracion a una altura de 2.981</t>
        </r>
      </text>
    </comment>
    <comment ref="G102" authorId="0" shapeId="0" xr:uid="{95F09763-8438-4BE6-AB10-339DCB125D40}">
      <text>
        <r>
          <rPr>
            <sz val="9"/>
            <color indexed="81"/>
            <rFont val="Tahoma"/>
            <family val="2"/>
          </rPr>
          <t xml:space="preserve">La codifiación es un ejemplo de una codificación de un certificado de calibración
</t>
        </r>
      </text>
    </comment>
    <comment ref="I104" authorId="0" shapeId="0" xr:uid="{38898CC5-29E0-4212-B9E4-95377F675C84}">
      <text>
        <r>
          <rPr>
            <sz val="9"/>
            <color indexed="81"/>
            <rFont val="Tahoma"/>
            <family val="2"/>
          </rPr>
          <t>El 0.12% de la incertidumbre del volumen lo obtuvimos del certificado de calibracion de VOLUMEN.
Lo multiplicamos por el volumen para obtener el valor de la incertidumbre
en m3</t>
        </r>
      </text>
    </comment>
    <comment ref="I106" authorId="0" shapeId="0" xr:uid="{CECA3D68-5DAC-40B7-850F-07EE4DCCDBE4}">
      <text>
        <r>
          <rPr>
            <sz val="9"/>
            <color indexed="81"/>
            <rFont val="Tahoma"/>
            <family val="2"/>
          </rPr>
          <t>El 0.12% de la incertidumbre del volumen lo obtuvimos del certificado de calibracion de VOLUMEN.
Lo multiplicamos por el volumen para obtener el valor de la incertidumbre
en m3</t>
        </r>
      </text>
    </comment>
    <comment ref="I108" authorId="0" shapeId="0" xr:uid="{F80D4615-4C9A-4A36-B4C5-1129B502AD48}">
      <text>
        <r>
          <rPr>
            <b/>
            <sz val="9"/>
            <color indexed="81"/>
            <rFont val="Tahoma"/>
            <family val="2"/>
          </rPr>
          <t>Se multiplica por 10%; se considera así cuando se toma el dato de una bibliografía</t>
        </r>
      </text>
    </comment>
    <comment ref="K110" authorId="0" shapeId="0" xr:uid="{6CAF7DDB-F341-4D08-9227-4C361DD62CE0}">
      <text>
        <r>
          <rPr>
            <sz val="9"/>
            <color indexed="81"/>
            <rFont val="Tahoma"/>
            <family val="2"/>
          </rPr>
          <t xml:space="preserve">Aportación de incertidumbre de Ts
</t>
        </r>
      </text>
    </comment>
    <comment ref="L112" authorId="0" shapeId="0" xr:uid="{A080669A-5522-4630-A799-77A26B51F348}">
      <text>
        <r>
          <rPr>
            <b/>
            <sz val="9"/>
            <color indexed="81"/>
            <rFont val="Tahoma"/>
            <family val="2"/>
          </rPr>
          <t>Derivada de ts 1/8</t>
        </r>
      </text>
    </comment>
    <comment ref="I114" authorId="0" shapeId="0" xr:uid="{FF6A0D78-8DB1-49FD-A716-E9F34BC24E20}">
      <text>
        <r>
          <rPr>
            <sz val="9"/>
            <color indexed="81"/>
            <rFont val="Tahoma"/>
            <family val="2"/>
          </rPr>
          <t>Incertidumbre para un Sensor de Temperatura según la RES/811 (Tabla 3. Especificaciones metrológicas para los sistemas de medición en tanques verticales)</t>
        </r>
      </text>
    </comment>
    <comment ref="I118" authorId="0" shapeId="0" xr:uid="{857633DE-6280-4D77-8973-0B731561BFF2}">
      <text>
        <r>
          <rPr>
            <sz val="9"/>
            <color indexed="81"/>
            <rFont val="Tahoma"/>
            <family val="2"/>
          </rPr>
          <t>Se considera como un diferencial de temperaturas entre los inventarios final e inicial</t>
        </r>
      </text>
    </comment>
    <comment ref="L120" authorId="0" shapeId="0" xr:uid="{56ADA27C-4A06-4A55-A767-B280C5F0AF4E}">
      <text>
        <r>
          <rPr>
            <b/>
            <sz val="9"/>
            <color indexed="81"/>
            <rFont val="Tahoma"/>
            <family val="2"/>
          </rPr>
          <t>Se deriva con respecto a 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2" authorId="0" shapeId="0" xr:uid="{52E11B80-FD8C-4F7A-B169-5E3B4BF84F63}">
      <text>
        <r>
          <rPr>
            <sz val="9"/>
            <color indexed="81"/>
            <rFont val="Tahoma"/>
            <family val="2"/>
          </rPr>
          <t>Valor típico, extraído del manual de un termohigrobarómetro 
https://twilight.mx/manuales/LT-MHB382SD-24-LT-MHB382SD.pdf?srsltid=AfmBOor8KNvneQN18rPEKYH8JFrhIKyNuImmIeQnbMa63SSdK_D4bmKg</t>
        </r>
      </text>
    </comment>
    <comment ref="I124" authorId="0" shapeId="0" xr:uid="{3F68CAE6-203B-4ABA-94D6-2F66E629F493}">
      <text>
        <r>
          <rPr>
            <sz val="9"/>
            <color indexed="81"/>
            <rFont val="Tahoma"/>
            <family val="2"/>
          </rPr>
          <t>Valor típico, extraído del manual de un termohigrobarómetro 
https://twilight.mx/manuales/LT-MHB382SD-24-LT-MHB382SD.pdf?srsltid=AfmBOor8KNvneQN18rPEKYH8JFrhIKyNuImmIeQnbMa63SSdK_D4bmKg</t>
        </r>
      </text>
    </comment>
    <comment ref="I130" authorId="0" shapeId="0" xr:uid="{D5199C85-A50A-43A0-8FED-39062868BD8D}">
      <text>
        <r>
          <rPr>
            <sz val="9"/>
            <color indexed="81"/>
            <rFont val="Tahoma"/>
            <family val="2"/>
          </rPr>
          <t>Valor típico de la Incertidumbre de un densímetro</t>
        </r>
      </text>
    </comment>
    <comment ref="I132" authorId="0" shapeId="0" xr:uid="{E4CA8165-ED47-49AB-88BE-8518F040B5AE}">
      <text>
        <r>
          <rPr>
            <sz val="9"/>
            <color indexed="81"/>
            <rFont val="Tahoma"/>
            <family val="2"/>
          </rPr>
          <t>Incertidumbre de un Sensor de Temperatura según la RES/811 (Tabla 3. Especificaciones metrológicas para los sistemas de medición en tanques verticales)</t>
        </r>
      </text>
    </comment>
    <comment ref="I134" authorId="0" shapeId="0" xr:uid="{C5F891B3-4A89-419D-B253-EDAB3DB586AC}">
      <text>
        <r>
          <rPr>
            <sz val="9"/>
            <color indexed="81"/>
            <rFont val="Tahoma"/>
            <family val="2"/>
          </rPr>
          <t>Lo determina la Norma de API MPMS CAP. 11.1
el 0.15% de u</t>
        </r>
      </text>
    </comment>
    <comment ref="I138" authorId="0" shapeId="0" xr:uid="{2F45E409-F883-4D9E-B727-B5EE98460BE5}">
      <text>
        <r>
          <rPr>
            <sz val="9"/>
            <color indexed="81"/>
            <rFont val="Tahoma"/>
            <family val="2"/>
          </rPr>
          <t>Valor típico de la Incertidumbre de un densímetro</t>
        </r>
      </text>
    </comment>
    <comment ref="E140" authorId="0" shapeId="0" xr:uid="{CA663454-8B4A-46E0-ACE8-4A36539E0D95}">
      <text>
        <r>
          <rPr>
            <b/>
            <sz val="9"/>
            <color indexed="81"/>
            <rFont val="Tahoma"/>
            <family val="2"/>
          </rPr>
          <t>Por tratarse de ρ20</t>
        </r>
      </text>
    </comment>
    <comment ref="I140" authorId="0" shapeId="0" xr:uid="{2CBFE8A2-FDAB-482A-AD1C-D0FEA24AE166}">
      <text>
        <r>
          <rPr>
            <sz val="9"/>
            <color indexed="81"/>
            <rFont val="Tahoma"/>
            <family val="2"/>
          </rPr>
          <t>Incertidumbre de un Sensor de Temperatura según la RES/811 (Tabla 3. Especificaciones metrológicas para los sistemas de medición en tanques verticales)</t>
        </r>
      </text>
    </comment>
    <comment ref="I142" authorId="0" shapeId="0" xr:uid="{43F891D5-3834-4392-9875-50F06042317D}">
      <text>
        <r>
          <rPr>
            <sz val="9"/>
            <color indexed="81"/>
            <rFont val="Tahoma"/>
            <family val="2"/>
          </rPr>
          <t>Lo determina la Norma de API MPMS CAP. 11.1
el 0.15% de 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Cecilia Martínez </author>
  </authors>
  <commentList>
    <comment ref="B23" authorId="0" shapeId="0" xr:uid="{FA03F074-D4D3-4B4C-9B90-8707D08D5DFB}">
      <text>
        <r>
          <rPr>
            <sz val="9"/>
            <color indexed="81"/>
            <rFont val="Tahoma"/>
            <family val="2"/>
          </rPr>
          <t>Valor obtenido directamente del control volumétrico (proporcionado por el cliente)</t>
        </r>
      </text>
    </comment>
    <comment ref="B24" authorId="0" shapeId="0" xr:uid="{76C5CDF9-132C-4109-934A-CC469603D2E2}">
      <text>
        <r>
          <rPr>
            <sz val="9"/>
            <color indexed="81"/>
            <rFont val="Tahoma"/>
            <family val="2"/>
          </rPr>
          <t>Se calcula empleando la hoja de Excel: Gasto Promedio de Dispensarios, Félix Ruiz González, como el promedio de los gastos máximo, medio y mínimo registrados en la UVIM más reciente (Extraordinaria 2do Periodo)</t>
        </r>
      </text>
    </comment>
    <comment ref="B25" authorId="0" shapeId="0" xr:uid="{D95D311D-C77C-4C6F-970C-73AEC5B86326}">
      <text>
        <r>
          <rPr>
            <sz val="9"/>
            <color indexed="81"/>
            <rFont val="Tahoma"/>
            <family val="2"/>
          </rPr>
          <t>Al no realizarse compensación o corrección por temperatura en los Dispensarios, se contempla como 1</t>
        </r>
      </text>
    </comment>
    <comment ref="B28" authorId="0" shapeId="0" xr:uid="{C915D8D8-AF2E-4AC3-A75E-C5E7812FD3CD}">
      <text>
        <r>
          <rPr>
            <sz val="9"/>
            <color indexed="81"/>
            <rFont val="Tahoma"/>
            <family val="2"/>
          </rPr>
          <t>Porque no existe compensación por temperatura en Dispensarios</t>
        </r>
      </text>
    </comment>
    <comment ref="A31" authorId="0" shapeId="0" xr:uid="{2B2F2553-07E4-43D2-9A23-ABB9FED06669}">
      <text>
        <r>
          <rPr>
            <sz val="9"/>
            <color indexed="81"/>
            <rFont val="Tahoma"/>
            <family val="2"/>
          </rPr>
          <t>Se calcula empleando la hoja de Excel: Gasto Promedio de Dispensarios, Félix Ruiz González, como el valor máximo y mínimo de la temperatura registrada considerando lo indicado en todos los tickets de Aumento de Inventario, derivados de la Recepción del Producto (Pipa)</t>
        </r>
      </text>
    </comment>
    <comment ref="G31" authorId="0" shapeId="0" xr:uid="{85684ECF-A7DB-4691-ABC2-FC26CE3CA282}">
      <text>
        <r>
          <rPr>
            <sz val="9"/>
            <color indexed="81"/>
            <rFont val="Tahoma"/>
            <family val="2"/>
          </rPr>
          <t>Dato extraído del manual: Helix/Ovation Training, pp83. Dado que contemplan 400 pulsos por cada 20 litros, se realiza la división entre 20 para determinar la cantidad de pulsos que le corresponden a un litro. Como dato adicional, la entrada del medidor (iMeter) es de 3/4¨</t>
        </r>
      </text>
    </comment>
    <comment ref="A32" authorId="0" shapeId="0" xr:uid="{BFAA53D9-1354-48E9-996C-01593A819D14}">
      <text>
        <r>
          <rPr>
            <sz val="9"/>
            <color indexed="81"/>
            <rFont val="Tahoma"/>
            <family val="2"/>
          </rPr>
          <t>Se calcula empleando la hoja de Excel: Gasto Promedio de Dispensarios, Félix Ruiz González, como el valor máximo y mínimo de los gastos máximo, medio y mínimo registrados en la UVIM más reciente (Extraordinaria 2do Periodo)</t>
        </r>
      </text>
    </comment>
    <comment ref="G32" authorId="0" shapeId="0" xr:uid="{BE0085F1-3876-4ACB-AF89-80D66F70C51C}">
      <text>
        <r>
          <rPr>
            <sz val="9"/>
            <color indexed="81"/>
            <rFont val="Tahoma"/>
            <family val="2"/>
          </rPr>
          <t xml:space="preserve">Dato tomado directamente de los registros indicados en el volumétrico CONTROLGAS, proporcionado a través de una imagen por el </t>
        </r>
        <r>
          <rPr>
            <b/>
            <sz val="9"/>
            <color indexed="81"/>
            <rFont val="Tahoma"/>
            <family val="2"/>
          </rPr>
          <t xml:space="preserve">cliente (registro de corte). </t>
        </r>
        <r>
          <rPr>
            <sz val="9"/>
            <color indexed="81"/>
            <rFont val="Tahoma"/>
            <family val="2"/>
          </rPr>
          <t>Se contempla una división entre 30 (lapso del IV) para determinar las cargas estimadas por día.</t>
        </r>
      </text>
    </comment>
    <comment ref="A34" authorId="0" shapeId="0" xr:uid="{3702B55F-C95F-4B18-94AD-85337762663E}">
      <text>
        <r>
          <rPr>
            <sz val="9"/>
            <color indexed="81"/>
            <rFont val="Tahoma"/>
            <family val="2"/>
          </rPr>
          <t>Conocido también como Volumen Gross</t>
        </r>
      </text>
    </comment>
    <comment ref="A39" authorId="0" shapeId="0" xr:uid="{6E915BDF-6006-4DB2-A05F-862EB7F9B29B}">
      <text>
        <r>
          <rPr>
            <sz val="9"/>
            <color indexed="81"/>
            <rFont val="Tahoma"/>
            <family val="2"/>
          </rPr>
          <t>Se calcula empleando la hoja de Excel: Gasto Promedio de Dispensarios, Félix Ruiz González, como la resta del valor máximo y mínimo de los promedios de los gastos máximo, medio y mínimo dividios entre 20 litros, registrados en la UVIM más reciente (Extraordinaria 2do Periodo)</t>
        </r>
      </text>
    </comment>
    <comment ref="B41" authorId="0" shapeId="0" xr:uid="{4171C564-5B55-4A22-B3AE-D8BF56768BE7}">
      <text>
        <r>
          <rPr>
            <sz val="9"/>
            <color indexed="81"/>
            <rFont val="Tahoma"/>
            <family val="2"/>
          </rPr>
          <t>Si se altera este valor, se debe fundamentar en un respaldo documental a través de una Acta de PROFECO.</t>
        </r>
      </text>
    </comment>
    <comment ref="B42" authorId="0" shapeId="0" xr:uid="{0FEAE437-C35B-48E1-96E3-3A5FDBD236B3}">
      <text>
        <r>
          <rPr>
            <sz val="9"/>
            <color indexed="81"/>
            <rFont val="Tahoma"/>
            <family val="2"/>
          </rPr>
          <t>Se determina realizando la división de 400 pulsos/ 20 litros, indicada en el manual</t>
        </r>
      </text>
    </comment>
    <comment ref="G58" authorId="0" shapeId="0" xr:uid="{EECF62F6-4F01-4D6E-AE47-5E1B56F21592}">
      <text>
        <r>
          <rPr>
            <sz val="9"/>
            <color indexed="81"/>
            <rFont val="Tahoma"/>
            <family val="2"/>
          </rPr>
          <t>Se pueden tomar del medidor, registros diarios, etc.</t>
        </r>
      </text>
    </comment>
    <comment ref="I64" authorId="0" shapeId="0" xr:uid="{4CC6CB83-26A1-46DD-A686-A014BA757C6C}">
      <text>
        <r>
          <rPr>
            <sz val="9"/>
            <color indexed="81"/>
            <rFont val="Tahoma"/>
            <family val="2"/>
          </rPr>
          <t>Se divide entre 2 porque consideramos el promedio entre el valor máximo y mínimo del MF</t>
        </r>
      </text>
    </comment>
    <comment ref="I68" authorId="0" shapeId="0" xr:uid="{D3381E3E-2029-4534-9359-2610319BAA8A}">
      <text>
        <r>
          <rPr>
            <sz val="9"/>
            <color indexed="81"/>
            <rFont val="Tahoma"/>
            <family val="2"/>
          </rPr>
          <t xml:space="preserve">Se toma el 10% de incertidumbre
</t>
        </r>
      </text>
    </comment>
    <comment ref="I72" authorId="0" shapeId="0" xr:uid="{F544506C-D1B6-4637-B820-6D0599F2A201}">
      <text>
        <r>
          <rPr>
            <b/>
            <sz val="9"/>
            <color indexed="81"/>
            <rFont val="Tahoma"/>
            <family val="2"/>
          </rPr>
          <t>Incertidumbre maxima que se puede alcanzar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76" authorId="0" shapeId="0" xr:uid="{66117BB5-B124-4C81-B615-7FC7FA1E43C3}">
      <text>
        <r>
          <rPr>
            <sz val="9"/>
            <color indexed="81"/>
            <rFont val="Tahoma"/>
            <family val="2"/>
          </rPr>
          <t xml:space="preserve">Se considera como un diferencial de temperaturas entre los inventarios final e inicial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Cecilia Martínez </author>
  </authors>
  <commentList>
    <comment ref="Q1" authorId="0" shapeId="0" xr:uid="{FC0D68E6-040B-41EF-82D7-9804B5A64CDA}">
      <text>
        <r>
          <rPr>
            <b/>
            <sz val="9"/>
            <color indexed="81"/>
            <rFont val="Tahoma"/>
            <family val="2"/>
          </rPr>
          <t>El signo varia según el signo que tenga en la formula de balance</t>
        </r>
      </text>
    </comment>
    <comment ref="H10" authorId="0" shapeId="0" xr:uid="{0FCA8F96-B10C-4C6C-A6F5-F0B2DEB8BE61}">
      <text>
        <r>
          <rPr>
            <sz val="9"/>
            <color indexed="81"/>
            <rFont val="Tahoma"/>
            <family val="2"/>
          </rPr>
          <t>Comprobación para corroborar que efectivamente, la salida global es igual a la suma de las salidas individuales (dispensarios).</t>
        </r>
      </text>
    </comment>
    <comment ref="G13" authorId="0" shapeId="0" xr:uid="{4DE256C7-F279-4E8B-8C5F-681C28BDC48C}">
      <text>
        <r>
          <rPr>
            <sz val="9"/>
            <color indexed="81"/>
            <rFont val="Tahoma"/>
            <family val="2"/>
          </rPr>
          <t>Son las recepciones del producto, contabilizadas a través de la suma de los Aumentos de Inventario (tickets)</t>
        </r>
      </text>
    </comment>
    <comment ref="H13" authorId="0" shapeId="0" xr:uid="{BB874B08-8098-4E23-BBEF-EB2689444CF2}">
      <text>
        <r>
          <rPr>
            <sz val="9"/>
            <color indexed="81"/>
            <rFont val="Tahoma"/>
            <family val="2"/>
          </rPr>
          <t>Se contempla como la suma del volumen indicado en los 4 tickets de aumento de inventario (pipas descargadas) en el mes de Abril</t>
        </r>
      </text>
    </comment>
  </commentList>
</comments>
</file>

<file path=xl/sharedStrings.xml><?xml version="1.0" encoding="utf-8"?>
<sst xmlns="http://schemas.openxmlformats.org/spreadsheetml/2006/main" count="604" uniqueCount="256">
  <si>
    <t>Datos</t>
  </si>
  <si>
    <t>hx=</t>
  </si>
  <si>
    <t>m</t>
  </si>
  <si>
    <t>h1=</t>
  </si>
  <si>
    <t>h2=</t>
  </si>
  <si>
    <t>V1=</t>
  </si>
  <si>
    <t>V2=</t>
  </si>
  <si>
    <t>Acero al carbón:</t>
  </si>
  <si>
    <t>1/°C</t>
  </si>
  <si>
    <t>m3</t>
  </si>
  <si>
    <t>αc</t>
  </si>
  <si>
    <t>Ts=</t>
  </si>
  <si>
    <t>T liquido=</t>
  </si>
  <si>
    <t>T ambiente=</t>
  </si>
  <si>
    <t>°C</t>
  </si>
  <si>
    <t>RHO Observada:</t>
  </si>
  <si>
    <t>kg/m3</t>
  </si>
  <si>
    <t>T observada=</t>
  </si>
  <si>
    <t>T base=</t>
  </si>
  <si>
    <t>RHO a 20=</t>
  </si>
  <si>
    <t>Volumen base=</t>
  </si>
  <si>
    <t>Valor de entrada</t>
  </si>
  <si>
    <t>Volumen en hx=</t>
  </si>
  <si>
    <t>CTS=</t>
  </si>
  <si>
    <t>CTL=</t>
  </si>
  <si>
    <t>Aplicación del API 2540:</t>
  </si>
  <si>
    <t>Beta 15:</t>
  </si>
  <si>
    <t>RHO 15=</t>
  </si>
  <si>
    <t>K1=</t>
  </si>
  <si>
    <t xml:space="preserve">Densidad del producto </t>
  </si>
  <si>
    <t>Volumen neto, aplicando el CTL</t>
  </si>
  <si>
    <t>Resultado del ejercicio:</t>
  </si>
  <si>
    <t>Estimación de Incertidumbre</t>
  </si>
  <si>
    <t>Referencia</t>
  </si>
  <si>
    <t>Variable de entrada</t>
  </si>
  <si>
    <t>Valor</t>
  </si>
  <si>
    <t>Unidad</t>
  </si>
  <si>
    <t>Fuente de informacion</t>
  </si>
  <si>
    <t>U Original</t>
  </si>
  <si>
    <t>Tipo Distribución</t>
  </si>
  <si>
    <t>u(xi)</t>
  </si>
  <si>
    <t>Ci</t>
  </si>
  <si>
    <t>u(xi)*Ci</t>
  </si>
  <si>
    <t>[u(xi)*Ci]^2</t>
  </si>
  <si>
    <t>Aportación en %</t>
  </si>
  <si>
    <t>Presupuesto de incertidumbre en base al modelo</t>
  </si>
  <si>
    <t>Del instrumento</t>
  </si>
  <si>
    <t xml:space="preserve">Calibración </t>
  </si>
  <si>
    <t>Resolución</t>
  </si>
  <si>
    <t>Estabilidad</t>
  </si>
  <si>
    <t>uc de hx
Incertidumbre combinada</t>
  </si>
  <si>
    <t>Dispositivo/manual</t>
  </si>
  <si>
    <t>En el proceso de medición</t>
  </si>
  <si>
    <t>Normal</t>
  </si>
  <si>
    <t xml:space="preserve">Altura después del hx del certificado de calibración (h2) </t>
  </si>
  <si>
    <t>Volumen correspondiente al h1 del certificado de calibración (v1)</t>
  </si>
  <si>
    <t>Volumen correspondiente al h2 del certificado de calibración (v2)</t>
  </si>
  <si>
    <t>Fabricante</t>
  </si>
  <si>
    <t>Temperatura del tanque (Ts)</t>
  </si>
  <si>
    <t>Temperatura en el líquido del tanque (Tl)</t>
  </si>
  <si>
    <t>7.1.1</t>
  </si>
  <si>
    <t>uc de Ts</t>
  </si>
  <si>
    <t>7.1.2</t>
  </si>
  <si>
    <t>7.1.3</t>
  </si>
  <si>
    <t>uc de Tl</t>
  </si>
  <si>
    <t>Temperatura en el ambiente (Ta)</t>
  </si>
  <si>
    <t>Sonda de temperatura</t>
  </si>
  <si>
    <t>Termómetro ambiental</t>
  </si>
  <si>
    <t>7.2.1</t>
  </si>
  <si>
    <t>7.2.2</t>
  </si>
  <si>
    <t>7.2.3</t>
  </si>
  <si>
    <t>uc de Ta</t>
  </si>
  <si>
    <t>Se deriva con respecto a Tl</t>
  </si>
  <si>
    <t>Derivada con respecto a Ts= 7/8</t>
  </si>
  <si>
    <t>Derivada con respecto a Ta= 1/8</t>
  </si>
  <si>
    <t>8..2</t>
  </si>
  <si>
    <t>Densidad Observada</t>
  </si>
  <si>
    <t>Temperatura Observada</t>
  </si>
  <si>
    <t>Modelo Cálculo API 2540</t>
  </si>
  <si>
    <t>uc de RHOtp</t>
  </si>
  <si>
    <t>Estandar API 2540</t>
  </si>
  <si>
    <t>Derivada del modelo de API para la Temperatura</t>
  </si>
  <si>
    <t>Para la derivada del coeficiente de sensibilidad de la temperatura para RHOtp y RHObase</t>
  </si>
  <si>
    <t>Dervida de V</t>
  </si>
  <si>
    <t>Primera derivada</t>
  </si>
  <si>
    <t>Segunda derivada</t>
  </si>
  <si>
    <t>Derivando con respecto a hx</t>
  </si>
  <si>
    <t>Derivando con respecto a h1</t>
  </si>
  <si>
    <t>Derivando con respecto a h2</t>
  </si>
  <si>
    <t>Derivando con respecto a v1</t>
  </si>
  <si>
    <t>Derivando con respecto a v2</t>
  </si>
  <si>
    <r>
      <t xml:space="preserve">Derivando con respecto a </t>
    </r>
    <r>
      <rPr>
        <sz val="11"/>
        <color theme="1"/>
        <rFont val="Calibri"/>
        <family val="2"/>
      </rPr>
      <t>αc</t>
    </r>
  </si>
  <si>
    <t>Derivando con respecto a ts</t>
  </si>
  <si>
    <t>Derivando con respecto a RHOtp</t>
  </si>
  <si>
    <t>Derivando con respecto a RHObase</t>
  </si>
  <si>
    <t>Sumatoria=</t>
  </si>
  <si>
    <t>Raiz=</t>
  </si>
  <si>
    <t>Incertidumbre combinada del Volumen base</t>
  </si>
  <si>
    <t>Uexp, k=2</t>
  </si>
  <si>
    <t>Uexp, en %=</t>
  </si>
  <si>
    <t>LECTURA INICIAL (Li)</t>
  </si>
  <si>
    <t>Posiciones de Salida o Llenado</t>
  </si>
  <si>
    <t>Caso 1</t>
  </si>
  <si>
    <t>Terminal de distribución</t>
  </si>
  <si>
    <t>Medidor de flujo</t>
  </si>
  <si>
    <t>Temperatura</t>
  </si>
  <si>
    <t>Se determina el volumen base de salida por posición</t>
  </si>
  <si>
    <r>
      <t>Coeficiente de expansión térmico por producto (</t>
    </r>
    <r>
      <rPr>
        <sz val="11"/>
        <color theme="1"/>
        <rFont val="Calibri"/>
        <family val="2"/>
      </rPr>
      <t>β20)</t>
    </r>
    <r>
      <rPr>
        <sz val="11"/>
        <color theme="1"/>
        <rFont val="Calibri"/>
        <family val="2"/>
        <scheme val="minor"/>
      </rPr>
      <t>:</t>
    </r>
  </si>
  <si>
    <t>Compensación de la lectura</t>
  </si>
  <si>
    <t>Medidores de salida:
Turbinas, Coriolis, Desplazamiento positivo</t>
  </si>
  <si>
    <t>Donde:</t>
  </si>
  <si>
    <t>FC: Factor de Calibración</t>
  </si>
  <si>
    <t>IV: Volumen indicado</t>
  </si>
  <si>
    <t>Vb= Volumen base</t>
  </si>
  <si>
    <t>Modelo para calcular la incertidumbre para un volumen base</t>
  </si>
  <si>
    <t>Volumen medido en el periodo:</t>
  </si>
  <si>
    <t>IV del periodo:</t>
  </si>
  <si>
    <t>L</t>
  </si>
  <si>
    <t>Gasto promedio:</t>
  </si>
  <si>
    <t>L/min</t>
  </si>
  <si>
    <t>Factor de calibración:</t>
  </si>
  <si>
    <t>Adimensional</t>
  </si>
  <si>
    <t>Datos supuestos de una medición</t>
  </si>
  <si>
    <t>Beta 20:</t>
  </si>
  <si>
    <t>Variaciones de temperatura</t>
  </si>
  <si>
    <t>Variaciones de flujo</t>
  </si>
  <si>
    <t>Min</t>
  </si>
  <si>
    <t>Max</t>
  </si>
  <si>
    <t>Volumen Bruto:</t>
  </si>
  <si>
    <t>CTL:</t>
  </si>
  <si>
    <t>Volumen base:</t>
  </si>
  <si>
    <t>Volumen indicado por el medidor de manera directa (IV)</t>
  </si>
  <si>
    <t>K-Factor:</t>
  </si>
  <si>
    <t>pulsos por litro</t>
  </si>
  <si>
    <t>P/L</t>
  </si>
  <si>
    <t>Cargas:</t>
  </si>
  <si>
    <t>tanques</t>
  </si>
  <si>
    <t>Uniforme</t>
  </si>
  <si>
    <t>Factor de Calibración (FC)</t>
  </si>
  <si>
    <t>Certificado de Calibración</t>
  </si>
  <si>
    <t xml:space="preserve">Estabilidad del flujo </t>
  </si>
  <si>
    <t>Deriva</t>
  </si>
  <si>
    <t>uc del FC</t>
  </si>
  <si>
    <t>Reporte mensual del Sistema de Control Central</t>
  </si>
  <si>
    <t>Linealidad:</t>
  </si>
  <si>
    <t>K-Factor anterior</t>
  </si>
  <si>
    <t>K-Factor nuevo</t>
  </si>
  <si>
    <t>KF Nuevo= KF anterior/Factor de Calibración nuevo</t>
  </si>
  <si>
    <t>Factor de Calibracion nuevo= KF anterior/KF nuevo</t>
  </si>
  <si>
    <t>FC nuevo=</t>
  </si>
  <si>
    <r>
      <t>Coeficiente de expansión térmico del producto (</t>
    </r>
    <r>
      <rPr>
        <sz val="11"/>
        <rFont val="Calibri"/>
        <family val="2"/>
      </rPr>
      <t>β)</t>
    </r>
  </si>
  <si>
    <t>Temperatura promedio de carga (t)</t>
  </si>
  <si>
    <t>uc de t</t>
  </si>
  <si>
    <t>Calibración</t>
  </si>
  <si>
    <t>Equipo de medición</t>
  </si>
  <si>
    <t>Estabilidad de temperatura del periodo</t>
  </si>
  <si>
    <t>Sumatoria:</t>
  </si>
  <si>
    <t>Li (Inventario):</t>
  </si>
  <si>
    <t>Lf (Inventario):</t>
  </si>
  <si>
    <t>Se toman del final de las tablas de Presupuesto de U</t>
  </si>
  <si>
    <t>Salidas totales:</t>
  </si>
  <si>
    <t>Descarga:</t>
  </si>
  <si>
    <t>Balance:</t>
  </si>
  <si>
    <t>ui</t>
  </si>
  <si>
    <t>ui*Ci</t>
  </si>
  <si>
    <t>ui*Ci^2</t>
  </si>
  <si>
    <t>Suma:</t>
  </si>
  <si>
    <t>Incertidumbre combinada</t>
  </si>
  <si>
    <t>Raíz, uc de Salidas:</t>
  </si>
  <si>
    <t>Raíz, uc de Balance:</t>
  </si>
  <si>
    <t>Uexp, k=2:</t>
  </si>
  <si>
    <t>Evaluación del balance:</t>
  </si>
  <si>
    <t>No podemos tener una u menor a la que le da origen</t>
  </si>
  <si>
    <t>Si el Factor esta 100% relacionado se va a tomar como la unidad (1)</t>
  </si>
  <si>
    <t>P1</t>
  </si>
  <si>
    <t>P2</t>
  </si>
  <si>
    <t>P3</t>
  </si>
  <si>
    <t>P4</t>
  </si>
  <si>
    <t>CORRELACION</t>
  </si>
  <si>
    <t>NO SE RELACIONA</t>
  </si>
  <si>
    <t>No se puede llenar, es del escalon hacia la derecha</t>
  </si>
  <si>
    <t>Significado de colores:</t>
  </si>
  <si>
    <t>Sumatoria*2:</t>
  </si>
  <si>
    <t>Se le suma la Sumatoria*2</t>
  </si>
  <si>
    <t>K0=</t>
  </si>
  <si>
    <t>Iteración:</t>
  </si>
  <si>
    <t>Datos del certificado de calibración</t>
  </si>
  <si>
    <t>Altura del líquido de medición (hx)</t>
  </si>
  <si>
    <t>Sistema de Nivel (Veeder-Root)</t>
  </si>
  <si>
    <t>Calibración (De la cinta plomada)</t>
  </si>
  <si>
    <t>Altura antes del hx del certificado de calibración (h1)</t>
  </si>
  <si>
    <t>Temperatura ponderada con ambiente</t>
  </si>
  <si>
    <t>Certificado APT-23-T-01-027</t>
  </si>
  <si>
    <t>Estándar API 2540</t>
  </si>
  <si>
    <t>uc de RHO20</t>
  </si>
  <si>
    <t>LECTURA FINAL (Lf), Se realiza un mes después que la lectura inicial (por lo que cambian las temperaturas, densidad, etc.) además de que se mide a una altura del tanque distinta</t>
  </si>
  <si>
    <t>% de error de un K-factor a otro</t>
  </si>
  <si>
    <t>Presupuesto de incertidumbre con base al modelo</t>
  </si>
  <si>
    <t>Sistema de Control Central</t>
  </si>
  <si>
    <t>Sitema de Llenado</t>
  </si>
  <si>
    <t>Certificado de Volumen</t>
  </si>
  <si>
    <t>Certificado de Calibración de la Cinta Plomada</t>
  </si>
  <si>
    <t>DISPENSARIO 2</t>
  </si>
  <si>
    <t>Datos obtenidos de un muestreo del producto</t>
  </si>
  <si>
    <t>RES/811/2017</t>
  </si>
  <si>
    <t>RHO a TS=</t>
  </si>
  <si>
    <r>
      <t>Densidad del producto en tanque (RHO 20: ρ</t>
    </r>
    <r>
      <rPr>
        <vertAlign val="subscript"/>
        <sz val="11"/>
        <rFont val="Calibri"/>
        <family val="2"/>
        <scheme val="minor"/>
      </rPr>
      <t>20</t>
    </r>
    <r>
      <rPr>
        <sz val="11"/>
        <rFont val="Calibri"/>
        <family val="2"/>
        <scheme val="minor"/>
      </rPr>
      <t>)</t>
    </r>
  </si>
  <si>
    <r>
      <t>Densidad del producto en tanque (RHOtp: ρ</t>
    </r>
    <r>
      <rPr>
        <vertAlign val="subscript"/>
        <sz val="11"/>
        <rFont val="Calibri"/>
        <family val="2"/>
        <scheme val="minor"/>
      </rPr>
      <t>tp</t>
    </r>
    <r>
      <rPr>
        <sz val="11"/>
        <rFont val="Calibri"/>
        <family val="2"/>
        <scheme val="minor"/>
      </rPr>
      <t>)</t>
    </r>
  </si>
  <si>
    <r>
      <t>Coeficiente de expansión térmico del acero (</t>
    </r>
    <r>
      <rPr>
        <sz val="11"/>
        <rFont val="Calibri"/>
        <family val="2"/>
      </rPr>
      <t>α</t>
    </r>
    <r>
      <rPr>
        <vertAlign val="subscript"/>
        <sz val="11"/>
        <rFont val="Calibri"/>
        <family val="2"/>
      </rPr>
      <t>c</t>
    </r>
    <r>
      <rPr>
        <sz val="11"/>
        <rFont val="Calibri"/>
        <family val="2"/>
      </rPr>
      <t>)</t>
    </r>
  </si>
  <si>
    <t>Temperatura:</t>
  </si>
  <si>
    <r>
      <rPr>
        <sz val="11"/>
        <color theme="1"/>
        <rFont val="Calibri"/>
        <family val="2"/>
      </rPr>
      <t>β</t>
    </r>
    <r>
      <rPr>
        <vertAlign val="sub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  del producto:</t>
    </r>
  </si>
  <si>
    <t>NOM-005-SCFI-2017</t>
  </si>
  <si>
    <t>UVIM</t>
  </si>
  <si>
    <t>Acero al carbón (αc):</t>
  </si>
  <si>
    <t>TURNO 1 y 2 (AL MES)</t>
  </si>
  <si>
    <t>1 mes (febrero)</t>
  </si>
  <si>
    <t>Calidad del diesel</t>
  </si>
  <si>
    <t>Salida-P1 (Disp. 2)</t>
  </si>
  <si>
    <t>Formato para estimación del balance del producto</t>
  </si>
  <si>
    <t>Identificación:</t>
  </si>
  <si>
    <t>SOFT-T-002</t>
  </si>
  <si>
    <r>
      <t xml:space="preserve">Revisión: </t>
    </r>
    <r>
      <rPr>
        <sz val="10"/>
        <color theme="1"/>
        <rFont val="Arial"/>
        <family val="2"/>
      </rPr>
      <t>0</t>
    </r>
  </si>
  <si>
    <t>FELIX RUIZ GONZALEZ</t>
  </si>
  <si>
    <t xml:space="preserve">Inicio de vigencia: </t>
  </si>
  <si>
    <t>DOCUMENTO CONTROLADO</t>
  </si>
  <si>
    <t>Autor de documento original: LOGC750219</t>
  </si>
  <si>
    <t>Copia controlada No. :0</t>
  </si>
  <si>
    <t>Nombre</t>
  </si>
  <si>
    <t>Puesto o función</t>
  </si>
  <si>
    <t>Firma</t>
  </si>
  <si>
    <t>Fecha</t>
  </si>
  <si>
    <t>Elaboró:</t>
  </si>
  <si>
    <t>Lezlie Anahy Gutierrez Armendáriz.</t>
  </si>
  <si>
    <t>Administrativo</t>
  </si>
  <si>
    <t>Revisó:</t>
  </si>
  <si>
    <t xml:space="preserve">Félix Ruiz Gonzalez </t>
  </si>
  <si>
    <t>Alta Dirección</t>
  </si>
  <si>
    <t>Aprobó:</t>
  </si>
  <si>
    <t>Localización del documento:</t>
  </si>
  <si>
    <t>Estación de servicio</t>
  </si>
  <si>
    <t>Control de cambios</t>
  </si>
  <si>
    <t>Estado</t>
  </si>
  <si>
    <t>Fecha de inicio de vigencia</t>
  </si>
  <si>
    <t>Revisión</t>
  </si>
  <si>
    <t>Descripción del cambio realizado</t>
  </si>
  <si>
    <t>Realizó</t>
  </si>
  <si>
    <t>Revisó</t>
  </si>
  <si>
    <t>Aprobó</t>
  </si>
  <si>
    <t>Vigente</t>
  </si>
  <si>
    <t>Ninguno (versión original).</t>
  </si>
  <si>
    <t>LAGA</t>
  </si>
  <si>
    <t>FRG</t>
  </si>
  <si>
    <r>
      <t xml:space="preserve">Documento controlado, prohibida su reproducción parcial o total sin autorización. </t>
    </r>
    <r>
      <rPr>
        <sz val="10"/>
        <color theme="1"/>
        <rFont val="Arial"/>
        <family val="2"/>
      </rPr>
      <t/>
    </r>
  </si>
  <si>
    <t>Página 1 de 8</t>
  </si>
  <si>
    <t>SOFT-T-002 Formato para estimación del balance del producto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</si>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</sst>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0.000"/>
    <numFmt numFmtId="165" formatCode="0.0000000"/>
    <numFmt numFmtId="166" formatCode="0.00000"/>
    <numFmt numFmtId="167" formatCode="0.0"/>
    <numFmt numFmtId="168" formatCode="0.0000"/>
    <numFmt numFmtId="169" formatCode="0.000000"/>
    <numFmt numFmtId="170" formatCode="0.000000000"/>
    <numFmt numFmtId="171" formatCode="0.0000000000"/>
    <numFmt numFmtId="172" formatCode="0.0%"/>
    <numFmt numFmtId="173" formatCode="0.000%"/>
    <numFmt numFmtId="174" formatCode="0.00000000"/>
    <numFmt numFmtId="175" formatCode="0.000000000000"/>
    <numFmt numFmtId="176" formatCode="0.0000000000000"/>
    <numFmt numFmtId="177" formatCode="0.000000%"/>
    <numFmt numFmtId="178" formatCode="0.00000E+00"/>
    <numFmt numFmtId="179" formatCode="0.00000%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bscript"/>
      <sz val="11"/>
      <name val="Calibri"/>
      <family val="2"/>
    </font>
    <font>
      <vertAlign val="subscript"/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9"/>
      <color rgb="FF000000"/>
      <name val="Arial"/>
      <family val="2"/>
    </font>
    <font>
      <sz val="8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386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/>
    <xf numFmtId="0" fontId="2" fillId="9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16" fontId="0" fillId="0" borderId="0" xfId="0" applyNumberFormat="1"/>
    <xf numFmtId="0" fontId="9" fillId="0" borderId="0" xfId="0" applyFont="1"/>
    <xf numFmtId="165" fontId="0" fillId="0" borderId="0" xfId="0" applyNumberFormat="1"/>
    <xf numFmtId="172" fontId="0" fillId="0" borderId="0" xfId="0" applyNumberFormat="1"/>
    <xf numFmtId="0" fontId="0" fillId="7" borderId="3" xfId="0" applyFill="1" applyBorder="1"/>
    <xf numFmtId="10" fontId="0" fillId="7" borderId="3" xfId="1" applyNumberFormat="1" applyFont="1" applyFill="1" applyBorder="1"/>
    <xf numFmtId="166" fontId="0" fillId="7" borderId="3" xfId="0" applyNumberFormat="1" applyFill="1" applyBorder="1"/>
    <xf numFmtId="168" fontId="0" fillId="6" borderId="0" xfId="0" applyNumberFormat="1" applyFill="1"/>
    <xf numFmtId="0" fontId="0" fillId="0" borderId="0" xfId="0" applyAlignment="1">
      <alignment horizontal="center" vertical="center" wrapText="1"/>
    </xf>
    <xf numFmtId="16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/>
    <xf numFmtId="164" fontId="0" fillId="0" borderId="0" xfId="0" applyNumberFormat="1"/>
    <xf numFmtId="173" fontId="0" fillId="0" borderId="0" xfId="1" applyNumberFormat="1" applyFont="1"/>
    <xf numFmtId="1" fontId="0" fillId="0" borderId="0" xfId="1" applyNumberFormat="1" applyFont="1"/>
    <xf numFmtId="16" fontId="0" fillId="0" borderId="0" xfId="0" applyNumberFormat="1" applyAlignment="1">
      <alignment horizontal="center" vertical="center"/>
    </xf>
    <xf numFmtId="9" fontId="0" fillId="0" borderId="0" xfId="0" applyNumberFormat="1"/>
    <xf numFmtId="0" fontId="0" fillId="11" borderId="0" xfId="0" applyFill="1"/>
    <xf numFmtId="0" fontId="0" fillId="6" borderId="0" xfId="0" applyFill="1"/>
    <xf numFmtId="164" fontId="0" fillId="0" borderId="1" xfId="0" applyNumberFormat="1" applyBorder="1"/>
    <xf numFmtId="0" fontId="0" fillId="11" borderId="1" xfId="0" applyFill="1" applyBorder="1"/>
    <xf numFmtId="10" fontId="0" fillId="0" borderId="1" xfId="0" applyNumberFormat="1" applyBorder="1"/>
    <xf numFmtId="168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vertical="center"/>
    </xf>
    <xf numFmtId="168" fontId="0" fillId="0" borderId="21" xfId="0" applyNumberFormat="1" applyBorder="1"/>
    <xf numFmtId="0" fontId="0" fillId="0" borderId="22" xfId="0" applyBorder="1"/>
    <xf numFmtId="0" fontId="0" fillId="0" borderId="23" xfId="0" applyBorder="1"/>
    <xf numFmtId="0" fontId="15" fillId="16" borderId="17" xfId="0" applyFont="1" applyFill="1" applyBorder="1"/>
    <xf numFmtId="0" fontId="15" fillId="16" borderId="18" xfId="0" applyFont="1" applyFill="1" applyBorder="1"/>
    <xf numFmtId="0" fontId="15" fillId="16" borderId="18" xfId="0" applyFont="1" applyFill="1" applyBorder="1" applyAlignment="1">
      <alignment horizontal="center" vertical="center"/>
    </xf>
    <xf numFmtId="0" fontId="15" fillId="16" borderId="19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20" xfId="0" applyFont="1" applyBorder="1"/>
    <xf numFmtId="168" fontId="0" fillId="7" borderId="21" xfId="0" applyNumberFormat="1" applyFill="1" applyBorder="1"/>
    <xf numFmtId="168" fontId="0" fillId="7" borderId="24" xfId="0" applyNumberFormat="1" applyFill="1" applyBorder="1"/>
    <xf numFmtId="0" fontId="6" fillId="0" borderId="0" xfId="0" applyFont="1"/>
    <xf numFmtId="0" fontId="6" fillId="0" borderId="17" xfId="0" applyFont="1" applyBorder="1"/>
    <xf numFmtId="0" fontId="6" fillId="0" borderId="23" xfId="0" applyFont="1" applyBorder="1" applyAlignment="1">
      <alignment wrapText="1"/>
    </xf>
    <xf numFmtId="0" fontId="0" fillId="0" borderId="7" xfId="0" applyBorder="1"/>
    <xf numFmtId="0" fontId="6" fillId="0" borderId="31" xfId="0" applyFont="1" applyBorder="1" applyAlignment="1">
      <alignment wrapText="1"/>
    </xf>
    <xf numFmtId="0" fontId="6" fillId="0" borderId="4" xfId="0" applyFont="1" applyBorder="1"/>
    <xf numFmtId="0" fontId="6" fillId="7" borderId="0" xfId="0" applyFont="1" applyFill="1"/>
    <xf numFmtId="168" fontId="0" fillId="7" borderId="19" xfId="0" applyNumberFormat="1" applyFill="1" applyBorder="1" applyAlignment="1">
      <alignment horizontal="center" vertical="center"/>
    </xf>
    <xf numFmtId="168" fontId="0" fillId="7" borderId="32" xfId="0" applyNumberFormat="1" applyFill="1" applyBorder="1" applyAlignment="1">
      <alignment horizontal="center" vertical="center"/>
    </xf>
    <xf numFmtId="168" fontId="0" fillId="7" borderId="6" xfId="0" applyNumberFormat="1" applyFill="1" applyBorder="1"/>
    <xf numFmtId="164" fontId="0" fillId="7" borderId="6" xfId="0" applyNumberFormat="1" applyFill="1" applyBorder="1"/>
    <xf numFmtId="0" fontId="0" fillId="0" borderId="30" xfId="0" applyBorder="1"/>
    <xf numFmtId="0" fontId="0" fillId="0" borderId="2" xfId="0" applyBorder="1"/>
    <xf numFmtId="168" fontId="0" fillId="0" borderId="2" xfId="0" applyNumberFormat="1" applyBorder="1"/>
    <xf numFmtId="0" fontId="0" fillId="17" borderId="1" xfId="0" applyFill="1" applyBorder="1" applyAlignment="1">
      <alignment horizontal="center" vertical="center"/>
    </xf>
    <xf numFmtId="0" fontId="15" fillId="17" borderId="0" xfId="0" applyFont="1" applyFill="1"/>
    <xf numFmtId="169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/>
    </xf>
    <xf numFmtId="169" fontId="0" fillId="3" borderId="0" xfId="0" applyNumberFormat="1" applyFill="1"/>
    <xf numFmtId="173" fontId="0" fillId="18" borderId="0" xfId="1" applyNumberFormat="1" applyFont="1" applyFill="1"/>
    <xf numFmtId="164" fontId="0" fillId="7" borderId="6" xfId="0" applyNumberFormat="1" applyFill="1" applyBorder="1" applyAlignment="1">
      <alignment horizontal="center" vertical="center"/>
    </xf>
    <xf numFmtId="0" fontId="16" fillId="20" borderId="1" xfId="0" applyFont="1" applyFill="1" applyBorder="1"/>
    <xf numFmtId="0" fontId="0" fillId="0" borderId="0" xfId="0" applyAlignment="1">
      <alignment horizontal="center"/>
    </xf>
    <xf numFmtId="0" fontId="0" fillId="3" borderId="3" xfId="0" applyFill="1" applyBorder="1"/>
    <xf numFmtId="43" fontId="0" fillId="3" borderId="3" xfId="2" applyFont="1" applyFill="1" applyBorder="1"/>
    <xf numFmtId="166" fontId="0" fillId="3" borderId="3" xfId="0" applyNumberFormat="1" applyFill="1" applyBorder="1"/>
    <xf numFmtId="168" fontId="0" fillId="3" borderId="3" xfId="0" applyNumberFormat="1" applyFill="1" applyBorder="1"/>
    <xf numFmtId="10" fontId="0" fillId="3" borderId="3" xfId="1" applyNumberFormat="1" applyFont="1" applyFill="1" applyBorder="1"/>
    <xf numFmtId="164" fontId="0" fillId="7" borderId="1" xfId="0" applyNumberFormat="1" applyFill="1" applyBorder="1"/>
    <xf numFmtId="0" fontId="0" fillId="0" borderId="0" xfId="0" applyAlignment="1">
      <alignment horizontal="right"/>
    </xf>
    <xf numFmtId="164" fontId="16" fillId="17" borderId="1" xfId="0" applyNumberFormat="1" applyFont="1" applyFill="1" applyBorder="1" applyAlignment="1">
      <alignment horizontal="right" vertical="center"/>
    </xf>
    <xf numFmtId="4" fontId="0" fillId="0" borderId="0" xfId="0" applyNumberFormat="1"/>
    <xf numFmtId="4" fontId="0" fillId="0" borderId="1" xfId="0" applyNumberFormat="1" applyBorder="1"/>
    <xf numFmtId="0" fontId="0" fillId="7" borderId="1" xfId="0" applyFill="1" applyBorder="1" applyAlignment="1">
      <alignment horizontal="right" vertical="center"/>
    </xf>
    <xf numFmtId="168" fontId="0" fillId="7" borderId="1" xfId="0" applyNumberFormat="1" applyFill="1" applyBorder="1" applyAlignment="1">
      <alignment horizontal="right" vertical="center"/>
    </xf>
    <xf numFmtId="2" fontId="0" fillId="7" borderId="1" xfId="0" applyNumberFormat="1" applyFill="1" applyBorder="1"/>
    <xf numFmtId="0" fontId="0" fillId="7" borderId="1" xfId="0" applyFill="1" applyBorder="1"/>
    <xf numFmtId="0" fontId="0" fillId="9" borderId="1" xfId="0" applyFill="1" applyBorder="1"/>
    <xf numFmtId="0" fontId="0" fillId="23" borderId="1" xfId="0" applyFill="1" applyBorder="1"/>
    <xf numFmtId="166" fontId="3" fillId="2" borderId="1" xfId="0" applyNumberFormat="1" applyFont="1" applyFill="1" applyBorder="1"/>
    <xf numFmtId="0" fontId="3" fillId="7" borderId="1" xfId="0" applyFont="1" applyFill="1" applyBorder="1" applyAlignment="1">
      <alignment horizontal="right" vertical="center"/>
    </xf>
    <xf numFmtId="168" fontId="3" fillId="7" borderId="1" xfId="0" applyNumberFormat="1" applyFont="1" applyFill="1" applyBorder="1" applyAlignment="1">
      <alignment horizontal="right" vertical="center"/>
    </xf>
    <xf numFmtId="2" fontId="0" fillId="7" borderId="1" xfId="0" applyNumberFormat="1" applyFill="1" applyBorder="1" applyAlignment="1">
      <alignment horizontal="right" vertical="center"/>
    </xf>
    <xf numFmtId="0" fontId="3" fillId="2" borderId="1" xfId="0" applyFont="1" applyFill="1" applyBorder="1"/>
    <xf numFmtId="166" fontId="3" fillId="7" borderId="1" xfId="0" applyNumberFormat="1" applyFont="1" applyFill="1" applyBorder="1" applyAlignment="1">
      <alignment horizontal="center" vertical="center"/>
    </xf>
    <xf numFmtId="2" fontId="16" fillId="20" borderId="1" xfId="0" applyNumberFormat="1" applyFont="1" applyFill="1" applyBorder="1" applyAlignment="1">
      <alignment horizontal="center" vertical="center"/>
    </xf>
    <xf numFmtId="4" fontId="3" fillId="7" borderId="1" xfId="0" applyNumberFormat="1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16" fillId="20" borderId="3" xfId="0" applyFont="1" applyFill="1" applyBorder="1" applyAlignment="1">
      <alignment horizontal="center" vertical="center"/>
    </xf>
    <xf numFmtId="0" fontId="6" fillId="23" borderId="16" xfId="0" applyFont="1" applyFill="1" applyBorder="1" applyAlignment="1">
      <alignment horizontal="center" vertical="center"/>
    </xf>
    <xf numFmtId="0" fontId="0" fillId="23" borderId="3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23" borderId="25" xfId="0" applyFont="1" applyFill="1" applyBorder="1" applyAlignment="1">
      <alignment horizontal="center" vertical="center"/>
    </xf>
    <xf numFmtId="0" fontId="6" fillId="23" borderId="27" xfId="0" applyFont="1" applyFill="1" applyBorder="1" applyAlignment="1">
      <alignment horizontal="center" vertical="center"/>
    </xf>
    <xf numFmtId="0" fontId="0" fillId="23" borderId="20" xfId="0" applyFill="1" applyBorder="1" applyAlignment="1">
      <alignment horizontal="center" vertical="center"/>
    </xf>
    <xf numFmtId="0" fontId="0" fillId="23" borderId="22" xfId="0" applyFill="1" applyBorder="1" applyAlignment="1">
      <alignment horizontal="center" vertical="center"/>
    </xf>
    <xf numFmtId="2" fontId="16" fillId="20" borderId="26" xfId="0" applyNumberFormat="1" applyFont="1" applyFill="1" applyBorder="1" applyAlignment="1">
      <alignment horizontal="center" vertical="center"/>
    </xf>
    <xf numFmtId="2" fontId="16" fillId="20" borderId="29" xfId="0" applyNumberFormat="1" applyFont="1" applyFill="1" applyBorder="1" applyAlignment="1">
      <alignment horizontal="center" vertical="center"/>
    </xf>
    <xf numFmtId="0" fontId="16" fillId="20" borderId="2" xfId="0" applyFont="1" applyFill="1" applyBorder="1" applyAlignment="1">
      <alignment horizontal="center" vertical="center"/>
    </xf>
    <xf numFmtId="0" fontId="16" fillId="20" borderId="28" xfId="0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43" fontId="16" fillId="20" borderId="1" xfId="0" applyNumberFormat="1" applyFont="1" applyFill="1" applyBorder="1"/>
    <xf numFmtId="165" fontId="16" fillId="20" borderId="1" xfId="0" applyNumberFormat="1" applyFont="1" applyFill="1" applyBorder="1"/>
    <xf numFmtId="43" fontId="16" fillId="20" borderId="1" xfId="2" applyFont="1" applyFill="1" applyBorder="1"/>
    <xf numFmtId="0" fontId="0" fillId="23" borderId="1" xfId="0" applyFill="1" applyBorder="1" applyAlignment="1">
      <alignment horizontal="center" vertical="center"/>
    </xf>
    <xf numFmtId="0" fontId="0" fillId="23" borderId="0" xfId="0" applyFill="1"/>
    <xf numFmtId="0" fontId="0" fillId="23" borderId="0" xfId="0" applyFill="1" applyAlignment="1">
      <alignment horizontal="center"/>
    </xf>
    <xf numFmtId="0" fontId="0" fillId="23" borderId="1" xfId="0" applyFill="1" applyBorder="1" applyAlignment="1">
      <alignment horizontal="center"/>
    </xf>
    <xf numFmtId="1" fontId="16" fillId="20" borderId="1" xfId="0" applyNumberFormat="1" applyFont="1" applyFill="1" applyBorder="1"/>
    <xf numFmtId="1" fontId="16" fillId="20" borderId="1" xfId="1" applyNumberFormat="1" applyFont="1" applyFill="1" applyBorder="1"/>
    <xf numFmtId="0" fontId="0" fillId="7" borderId="1" xfId="1" applyNumberFormat="1" applyFont="1" applyFill="1" applyBorder="1"/>
    <xf numFmtId="169" fontId="16" fillId="20" borderId="1" xfId="1" applyNumberFormat="1" applyFont="1" applyFill="1" applyBorder="1"/>
    <xf numFmtId="10" fontId="0" fillId="23" borderId="1" xfId="0" applyNumberFormat="1" applyFill="1" applyBorder="1"/>
    <xf numFmtId="167" fontId="3" fillId="7" borderId="1" xfId="0" applyNumberFormat="1" applyFont="1" applyFill="1" applyBorder="1"/>
    <xf numFmtId="2" fontId="3" fillId="7" borderId="1" xfId="0" applyNumberFormat="1" applyFont="1" applyFill="1" applyBorder="1"/>
    <xf numFmtId="0" fontId="3" fillId="7" borderId="1" xfId="0" applyFont="1" applyFill="1" applyBorder="1"/>
    <xf numFmtId="164" fontId="16" fillId="20" borderId="23" xfId="0" applyNumberFormat="1" applyFont="1" applyFill="1" applyBorder="1"/>
    <xf numFmtId="0" fontId="2" fillId="0" borderId="1" xfId="0" applyFont="1" applyBorder="1"/>
    <xf numFmtId="168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2" fontId="16" fillId="19" borderId="1" xfId="0" applyNumberFormat="1" applyFont="1" applyFill="1" applyBorder="1" applyAlignment="1">
      <alignment horizontal="right" vertical="center"/>
    </xf>
    <xf numFmtId="0" fontId="23" fillId="0" borderId="0" xfId="3" applyFont="1" applyAlignment="1">
      <alignment vertical="center"/>
    </xf>
    <xf numFmtId="0" fontId="27" fillId="0" borderId="0" xfId="3" applyFont="1" applyAlignment="1">
      <alignment horizontal="center" vertical="center"/>
    </xf>
    <xf numFmtId="0" fontId="29" fillId="15" borderId="1" xfId="3" applyFont="1" applyFill="1" applyBorder="1" applyAlignment="1">
      <alignment vertical="center" wrapText="1"/>
    </xf>
    <xf numFmtId="0" fontId="29" fillId="15" borderId="1" xfId="3" applyFont="1" applyFill="1" applyBorder="1" applyAlignment="1">
      <alignment horizontal="center" vertical="center" wrapText="1"/>
    </xf>
    <xf numFmtId="0" fontId="29" fillId="0" borderId="1" xfId="3" applyFont="1" applyBorder="1" applyAlignment="1">
      <alignment vertical="center" wrapText="1"/>
    </xf>
    <xf numFmtId="0" fontId="31" fillId="0" borderId="1" xfId="3" applyFont="1" applyBorder="1" applyAlignment="1">
      <alignment horizontal="center" vertical="center" wrapText="1"/>
    </xf>
    <xf numFmtId="0" fontId="31" fillId="0" borderId="1" xfId="3" applyFont="1" applyBorder="1" applyAlignment="1">
      <alignment vertical="center" wrapText="1"/>
    </xf>
    <xf numFmtId="0" fontId="34" fillId="0" borderId="0" xfId="3" applyFont="1" applyAlignment="1">
      <alignment horizontal="left" vertical="center"/>
    </xf>
    <xf numFmtId="0" fontId="34" fillId="0" borderId="0" xfId="3" applyFont="1" applyAlignment="1">
      <alignment horizontal="center" vertical="center"/>
    </xf>
    <xf numFmtId="0" fontId="29" fillId="15" borderId="1" xfId="3" applyFont="1" applyFill="1" applyBorder="1" applyAlignment="1">
      <alignment horizontal="left" vertical="center" wrapText="1"/>
    </xf>
    <xf numFmtId="0" fontId="30" fillId="0" borderId="2" xfId="3" applyFont="1" applyBorder="1" applyAlignment="1">
      <alignment horizontal="left" vertical="center"/>
    </xf>
    <xf numFmtId="0" fontId="30" fillId="0" borderId="42" xfId="3" applyFont="1" applyBorder="1" applyAlignment="1">
      <alignment horizontal="left" vertical="center"/>
    </xf>
    <xf numFmtId="0" fontId="30" fillId="0" borderId="39" xfId="3" applyFont="1" applyBorder="1" applyAlignment="1">
      <alignment horizontal="left" vertical="center"/>
    </xf>
    <xf numFmtId="0" fontId="32" fillId="0" borderId="0" xfId="3" applyFont="1" applyAlignment="1">
      <alignment horizontal="center" vertical="center"/>
    </xf>
    <xf numFmtId="0" fontId="33" fillId="15" borderId="1" xfId="3" applyFont="1" applyFill="1" applyBorder="1" applyAlignment="1">
      <alignment horizontal="center" vertical="center" wrapText="1"/>
    </xf>
    <xf numFmtId="0" fontId="33" fillId="15" borderId="43" xfId="3" applyFont="1" applyFill="1" applyBorder="1" applyAlignment="1">
      <alignment horizontal="center" vertical="center" wrapText="1"/>
    </xf>
    <xf numFmtId="0" fontId="33" fillId="15" borderId="44" xfId="3" applyFont="1" applyFill="1" applyBorder="1" applyAlignment="1">
      <alignment horizontal="center" vertical="center" wrapText="1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29" fillId="15" borderId="1" xfId="3" applyFont="1" applyFill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0" fontId="24" fillId="0" borderId="37" xfId="3" applyFont="1" applyBorder="1" applyAlignment="1">
      <alignment horizontal="left" vertical="center" wrapText="1"/>
    </xf>
    <xf numFmtId="0" fontId="24" fillId="0" borderId="38" xfId="3" applyFont="1" applyBorder="1" applyAlignment="1">
      <alignment horizontal="left" vertical="center" wrapText="1"/>
    </xf>
    <xf numFmtId="0" fontId="22" fillId="0" borderId="2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0" fontId="22" fillId="0" borderId="33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3" fillId="12" borderId="8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170" fontId="3" fillId="12" borderId="14" xfId="0" applyNumberFormat="1" applyFont="1" applyFill="1" applyBorder="1" applyAlignment="1">
      <alignment horizontal="center" vertical="center"/>
    </xf>
    <xf numFmtId="170" fontId="3" fillId="12" borderId="15" xfId="0" applyNumberFormat="1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169" fontId="3" fillId="12" borderId="14" xfId="0" applyNumberFormat="1" applyFont="1" applyFill="1" applyBorder="1" applyAlignment="1">
      <alignment horizontal="center" vertical="center"/>
    </xf>
    <xf numFmtId="169" fontId="3" fillId="12" borderId="15" xfId="0" applyNumberFormat="1" applyFont="1" applyFill="1" applyBorder="1" applyAlignment="1">
      <alignment horizontal="center" vertical="center"/>
    </xf>
    <xf numFmtId="0" fontId="3" fillId="21" borderId="14" xfId="0" applyFont="1" applyFill="1" applyBorder="1" applyAlignment="1">
      <alignment horizontal="center" vertical="center"/>
    </xf>
    <xf numFmtId="0" fontId="3" fillId="21" borderId="15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/>
    </xf>
    <xf numFmtId="164" fontId="16" fillId="20" borderId="14" xfId="0" applyNumberFormat="1" applyFont="1" applyFill="1" applyBorder="1" applyAlignment="1">
      <alignment horizontal="center" vertical="center"/>
    </xf>
    <xf numFmtId="164" fontId="16" fillId="20" borderId="15" xfId="0" applyNumberFormat="1" applyFont="1" applyFill="1" applyBorder="1" applyAlignment="1">
      <alignment horizontal="center" vertical="center"/>
    </xf>
    <xf numFmtId="166" fontId="3" fillId="12" borderId="14" xfId="0" applyNumberFormat="1" applyFont="1" applyFill="1" applyBorder="1" applyAlignment="1">
      <alignment horizontal="center" vertical="center"/>
    </xf>
    <xf numFmtId="166" fontId="3" fillId="12" borderId="15" xfId="0" applyNumberFormat="1" applyFont="1" applyFill="1" applyBorder="1" applyAlignment="1">
      <alignment horizontal="center" vertical="center"/>
    </xf>
    <xf numFmtId="2" fontId="3" fillId="7" borderId="14" xfId="0" applyNumberFormat="1" applyFont="1" applyFill="1" applyBorder="1" applyAlignment="1">
      <alignment horizontal="center" vertical="center"/>
    </xf>
    <xf numFmtId="2" fontId="3" fillId="7" borderId="15" xfId="0" applyNumberFormat="1" applyFont="1" applyFill="1" applyBorder="1" applyAlignment="1">
      <alignment horizontal="center" vertical="center"/>
    </xf>
    <xf numFmtId="2" fontId="3" fillId="12" borderId="14" xfId="0" applyNumberFormat="1" applyFont="1" applyFill="1" applyBorder="1" applyAlignment="1">
      <alignment horizontal="center" vertical="center"/>
    </xf>
    <xf numFmtId="2" fontId="3" fillId="12" borderId="15" xfId="0" applyNumberFormat="1" applyFont="1" applyFill="1" applyBorder="1" applyAlignment="1">
      <alignment horizontal="center" vertical="center"/>
    </xf>
    <xf numFmtId="167" fontId="3" fillId="7" borderId="14" xfId="0" applyNumberFormat="1" applyFont="1" applyFill="1" applyBorder="1" applyAlignment="1">
      <alignment horizontal="center" vertical="center"/>
    </xf>
    <xf numFmtId="167" fontId="3" fillId="7" borderId="15" xfId="0" applyNumberFormat="1" applyFont="1" applyFill="1" applyBorder="1" applyAlignment="1">
      <alignment horizontal="center" vertical="center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9" fontId="3" fillId="0" borderId="14" xfId="0" applyNumberFormat="1" applyFont="1" applyBorder="1" applyAlignment="1">
      <alignment horizontal="center" vertical="center"/>
    </xf>
    <xf numFmtId="169" fontId="3" fillId="0" borderId="15" xfId="0" applyNumberFormat="1" applyFont="1" applyBorder="1" applyAlignment="1">
      <alignment horizontal="center" vertical="center"/>
    </xf>
    <xf numFmtId="172" fontId="3" fillId="0" borderId="14" xfId="1" applyNumberFormat="1" applyFont="1" applyBorder="1" applyAlignment="1">
      <alignment horizontal="center" vertical="center"/>
    </xf>
    <xf numFmtId="172" fontId="3" fillId="0" borderId="15" xfId="1" applyNumberFormat="1" applyFont="1" applyBorder="1" applyAlignment="1">
      <alignment horizontal="center" vertical="center"/>
    </xf>
    <xf numFmtId="164" fontId="3" fillId="12" borderId="9" xfId="0" applyNumberFormat="1" applyFont="1" applyFill="1" applyBorder="1" applyAlignment="1">
      <alignment horizontal="center" vertical="center"/>
    </xf>
    <xf numFmtId="164" fontId="3" fillId="12" borderId="10" xfId="0" applyNumberFormat="1" applyFont="1" applyFill="1" applyBorder="1" applyAlignment="1">
      <alignment horizontal="center" vertical="center"/>
    </xf>
    <xf numFmtId="164" fontId="3" fillId="12" borderId="11" xfId="0" applyNumberFormat="1" applyFont="1" applyFill="1" applyBorder="1" applyAlignment="1">
      <alignment horizontal="center" vertical="center"/>
    </xf>
    <xf numFmtId="164" fontId="3" fillId="12" borderId="13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166" fontId="3" fillId="0" borderId="14" xfId="0" applyNumberFormat="1" applyFont="1" applyBorder="1" applyAlignment="1">
      <alignment horizontal="center" vertical="center"/>
    </xf>
    <xf numFmtId="166" fontId="3" fillId="0" borderId="15" xfId="0" applyNumberFormat="1" applyFont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3" fillId="13" borderId="12" xfId="0" applyFont="1" applyFill="1" applyBorder="1" applyAlignment="1">
      <alignment horizontal="center" vertical="center"/>
    </xf>
    <xf numFmtId="165" fontId="3" fillId="13" borderId="14" xfId="0" applyNumberFormat="1" applyFont="1" applyFill="1" applyBorder="1" applyAlignment="1">
      <alignment horizontal="center" vertical="center"/>
    </xf>
    <xf numFmtId="165" fontId="3" fillId="13" borderId="15" xfId="0" applyNumberFormat="1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169" fontId="3" fillId="13" borderId="14" xfId="0" applyNumberFormat="1" applyFont="1" applyFill="1" applyBorder="1" applyAlignment="1">
      <alignment horizontal="center" vertical="center"/>
    </xf>
    <xf numFmtId="169" fontId="3" fillId="13" borderId="15" xfId="0" applyNumberFormat="1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13" borderId="13" xfId="0" applyFont="1" applyFill="1" applyBorder="1" applyAlignment="1">
      <alignment horizontal="center" vertical="center"/>
    </xf>
    <xf numFmtId="1" fontId="3" fillId="7" borderId="14" xfId="0" applyNumberFormat="1" applyFont="1" applyFill="1" applyBorder="1" applyAlignment="1">
      <alignment horizontal="center" vertical="center"/>
    </xf>
    <xf numFmtId="1" fontId="3" fillId="7" borderId="15" xfId="0" applyNumberFormat="1" applyFont="1" applyFill="1" applyBorder="1" applyAlignment="1">
      <alignment horizontal="center" vertical="center"/>
    </xf>
    <xf numFmtId="164" fontId="3" fillId="12" borderId="14" xfId="0" applyNumberFormat="1" applyFont="1" applyFill="1" applyBorder="1" applyAlignment="1">
      <alignment horizontal="center" vertical="center"/>
    </xf>
    <xf numFmtId="164" fontId="3" fillId="12" borderId="15" xfId="0" applyNumberFormat="1" applyFont="1" applyFill="1" applyBorder="1" applyAlignment="1">
      <alignment horizontal="center" vertical="center"/>
    </xf>
    <xf numFmtId="169" fontId="3" fillId="12" borderId="8" xfId="0" applyNumberFormat="1" applyFont="1" applyFill="1" applyBorder="1" applyAlignment="1">
      <alignment horizontal="center" vertical="center"/>
    </xf>
    <xf numFmtId="169" fontId="3" fillId="12" borderId="12" xfId="0" applyNumberFormat="1" applyFont="1" applyFill="1" applyBorder="1" applyAlignment="1">
      <alignment horizontal="center" vertical="center"/>
    </xf>
    <xf numFmtId="164" fontId="3" fillId="13" borderId="9" xfId="0" applyNumberFormat="1" applyFont="1" applyFill="1" applyBorder="1" applyAlignment="1">
      <alignment horizontal="center" vertical="center"/>
    </xf>
    <xf numFmtId="164" fontId="3" fillId="13" borderId="10" xfId="0" applyNumberFormat="1" applyFont="1" applyFill="1" applyBorder="1" applyAlignment="1">
      <alignment horizontal="center" vertical="center"/>
    </xf>
    <xf numFmtId="164" fontId="3" fillId="13" borderId="11" xfId="0" applyNumberFormat="1" applyFont="1" applyFill="1" applyBorder="1" applyAlignment="1">
      <alignment horizontal="center" vertical="center"/>
    </xf>
    <xf numFmtId="164" fontId="3" fillId="13" borderId="13" xfId="0" applyNumberFormat="1" applyFont="1" applyFill="1" applyBorder="1" applyAlignment="1">
      <alignment horizontal="center" vertical="center"/>
    </xf>
    <xf numFmtId="170" fontId="3" fillId="13" borderId="14" xfId="0" applyNumberFormat="1" applyFont="1" applyFill="1" applyBorder="1" applyAlignment="1">
      <alignment horizontal="center" vertical="center"/>
    </xf>
    <xf numFmtId="170" fontId="3" fillId="13" borderId="15" xfId="0" applyNumberFormat="1" applyFont="1" applyFill="1" applyBorder="1" applyAlignment="1">
      <alignment horizontal="center" vertical="center"/>
    </xf>
    <xf numFmtId="164" fontId="16" fillId="24" borderId="14" xfId="0" applyNumberFormat="1" applyFont="1" applyFill="1" applyBorder="1" applyAlignment="1">
      <alignment horizontal="center" vertical="center"/>
    </xf>
    <xf numFmtId="164" fontId="16" fillId="24" borderId="15" xfId="0" applyNumberFormat="1" applyFont="1" applyFill="1" applyBorder="1" applyAlignment="1">
      <alignment horizontal="center" vertical="center"/>
    </xf>
    <xf numFmtId="177" fontId="3" fillId="0" borderId="14" xfId="1" applyNumberFormat="1" applyFont="1" applyBorder="1" applyAlignment="1">
      <alignment horizontal="center" vertical="center"/>
    </xf>
    <xf numFmtId="177" fontId="3" fillId="0" borderId="15" xfId="1" applyNumberFormat="1" applyFont="1" applyBorder="1" applyAlignment="1">
      <alignment horizontal="center" vertical="center"/>
    </xf>
    <xf numFmtId="168" fontId="3" fillId="11" borderId="14" xfId="0" applyNumberFormat="1" applyFont="1" applyFill="1" applyBorder="1" applyAlignment="1">
      <alignment horizontal="center" vertical="center"/>
    </xf>
    <xf numFmtId="168" fontId="3" fillId="11" borderId="15" xfId="0" applyNumberFormat="1" applyFont="1" applyFill="1" applyBorder="1" applyAlignment="1">
      <alignment horizontal="center" vertical="center"/>
    </xf>
    <xf numFmtId="11" fontId="3" fillId="11" borderId="14" xfId="0" applyNumberFormat="1" applyFont="1" applyFill="1" applyBorder="1" applyAlignment="1">
      <alignment horizontal="center" vertical="center"/>
    </xf>
    <xf numFmtId="11" fontId="3" fillId="11" borderId="15" xfId="0" applyNumberFormat="1" applyFont="1" applyFill="1" applyBorder="1" applyAlignment="1">
      <alignment horizontal="center" vertical="center"/>
    </xf>
    <xf numFmtId="166" fontId="16" fillId="20" borderId="14" xfId="0" applyNumberFormat="1" applyFont="1" applyFill="1" applyBorder="1" applyAlignment="1">
      <alignment horizontal="center" vertical="center"/>
    </xf>
    <xf numFmtId="166" fontId="16" fillId="20" borderId="15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6" fillId="17" borderId="9" xfId="0" applyFont="1" applyFill="1" applyBorder="1" applyAlignment="1">
      <alignment horizontal="center" vertical="center" wrapText="1"/>
    </xf>
    <xf numFmtId="0" fontId="16" fillId="17" borderId="10" xfId="0" applyFont="1" applyFill="1" applyBorder="1" applyAlignment="1">
      <alignment horizontal="center" vertical="center" wrapText="1"/>
    </xf>
    <xf numFmtId="0" fontId="16" fillId="17" borderId="11" xfId="0" applyFont="1" applyFill="1" applyBorder="1" applyAlignment="1">
      <alignment horizontal="center" vertical="center" wrapText="1"/>
    </xf>
    <xf numFmtId="0" fontId="16" fillId="17" borderId="13" xfId="0" applyFont="1" applyFill="1" applyBorder="1" applyAlignment="1">
      <alignment horizontal="center" vertical="center" wrapText="1"/>
    </xf>
    <xf numFmtId="164" fontId="3" fillId="7" borderId="14" xfId="0" applyNumberFormat="1" applyFont="1" applyFill="1" applyBorder="1" applyAlignment="1">
      <alignment horizontal="center" vertical="center"/>
    </xf>
    <xf numFmtId="164" fontId="3" fillId="7" borderId="15" xfId="0" applyNumberFormat="1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165" fontId="3" fillId="7" borderId="14" xfId="0" applyNumberFormat="1" applyFont="1" applyFill="1" applyBorder="1" applyAlignment="1">
      <alignment horizontal="center" vertical="center"/>
    </xf>
    <xf numFmtId="165" fontId="3" fillId="7" borderId="15" xfId="0" applyNumberFormat="1" applyFont="1" applyFill="1" applyBorder="1" applyAlignment="1">
      <alignment horizontal="center" vertical="center"/>
    </xf>
    <xf numFmtId="169" fontId="3" fillId="7" borderId="14" xfId="0" applyNumberFormat="1" applyFont="1" applyFill="1" applyBorder="1" applyAlignment="1">
      <alignment horizontal="center"/>
    </xf>
    <xf numFmtId="169" fontId="3" fillId="7" borderId="15" xfId="0" applyNumberFormat="1" applyFont="1" applyFill="1" applyBorder="1" applyAlignment="1">
      <alignment horizontal="center"/>
    </xf>
    <xf numFmtId="172" fontId="3" fillId="0" borderId="14" xfId="1" applyNumberFormat="1" applyFont="1" applyFill="1" applyBorder="1" applyAlignment="1">
      <alignment horizontal="center" vertical="center"/>
    </xf>
    <xf numFmtId="172" fontId="3" fillId="0" borderId="15" xfId="1" applyNumberFormat="1" applyFont="1" applyFill="1" applyBorder="1" applyAlignment="1">
      <alignment horizontal="center" vertical="center"/>
    </xf>
    <xf numFmtId="170" fontId="3" fillId="0" borderId="14" xfId="0" applyNumberFormat="1" applyFont="1" applyBorder="1" applyAlignment="1">
      <alignment horizontal="center" vertical="center"/>
    </xf>
    <xf numFmtId="170" fontId="3" fillId="0" borderId="15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3" fillId="10" borderId="9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173" fontId="3" fillId="0" borderId="14" xfId="1" applyNumberFormat="1" applyFont="1" applyBorder="1" applyAlignment="1">
      <alignment horizontal="center" vertical="center"/>
    </xf>
    <xf numFmtId="173" fontId="3" fillId="0" borderId="15" xfId="1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164" fontId="3" fillId="11" borderId="8" xfId="0" applyNumberFormat="1" applyFont="1" applyFill="1" applyBorder="1" applyAlignment="1">
      <alignment horizontal="center" vertical="center"/>
    </xf>
    <xf numFmtId="164" fontId="3" fillId="11" borderId="12" xfId="0" applyNumberFormat="1" applyFont="1" applyFill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168" fontId="3" fillId="11" borderId="8" xfId="0" applyNumberFormat="1" applyFont="1" applyFill="1" applyBorder="1" applyAlignment="1">
      <alignment horizontal="center" vertical="center"/>
    </xf>
    <xf numFmtId="168" fontId="3" fillId="11" borderId="12" xfId="0" applyNumberFormat="1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170" fontId="3" fillId="10" borderId="14" xfId="0" applyNumberFormat="1" applyFont="1" applyFill="1" applyBorder="1" applyAlignment="1">
      <alignment horizontal="center" vertical="center"/>
    </xf>
    <xf numFmtId="170" fontId="3" fillId="10" borderId="15" xfId="0" applyNumberFormat="1" applyFont="1" applyFill="1" applyBorder="1" applyAlignment="1">
      <alignment horizontal="center" vertical="center"/>
    </xf>
    <xf numFmtId="171" fontId="3" fillId="10" borderId="8" xfId="0" applyNumberFormat="1" applyFont="1" applyFill="1" applyBorder="1" applyAlignment="1">
      <alignment horizontal="center" vertical="center"/>
    </xf>
    <xf numFmtId="171" fontId="3" fillId="10" borderId="12" xfId="0" applyNumberFormat="1" applyFont="1" applyFill="1" applyBorder="1" applyAlignment="1">
      <alignment horizontal="center" vertical="center"/>
    </xf>
    <xf numFmtId="178" fontId="3" fillId="10" borderId="14" xfId="0" applyNumberFormat="1" applyFont="1" applyFill="1" applyBorder="1" applyAlignment="1">
      <alignment horizontal="center" vertical="center"/>
    </xf>
    <xf numFmtId="178" fontId="3" fillId="10" borderId="15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/>
    </xf>
    <xf numFmtId="0" fontId="7" fillId="23" borderId="35" xfId="0" applyFont="1" applyFill="1" applyBorder="1" applyAlignment="1">
      <alignment horizontal="center"/>
    </xf>
    <xf numFmtId="0" fontId="7" fillId="23" borderId="36" xfId="0" applyFont="1" applyFill="1" applyBorder="1" applyAlignment="1">
      <alignment horizontal="center"/>
    </xf>
    <xf numFmtId="0" fontId="7" fillId="23" borderId="34" xfId="0" applyFont="1" applyFill="1" applyBorder="1" applyAlignment="1">
      <alignment horizontal="center"/>
    </xf>
    <xf numFmtId="168" fontId="3" fillId="0" borderId="8" xfId="0" applyNumberFormat="1" applyFont="1" applyBorder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textRotation="135"/>
    </xf>
    <xf numFmtId="0" fontId="4" fillId="14" borderId="0" xfId="0" applyFont="1" applyFill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179" fontId="3" fillId="0" borderId="14" xfId="1" applyNumberFormat="1" applyFont="1" applyBorder="1" applyAlignment="1">
      <alignment horizontal="center" vertical="center"/>
    </xf>
    <xf numFmtId="179" fontId="3" fillId="0" borderId="15" xfId="1" applyNumberFormat="1" applyFont="1" applyBorder="1" applyAlignment="1">
      <alignment horizontal="center" vertical="center"/>
    </xf>
    <xf numFmtId="174" fontId="3" fillId="0" borderId="14" xfId="0" applyNumberFormat="1" applyFont="1" applyBorder="1" applyAlignment="1">
      <alignment horizontal="center" vertical="center"/>
    </xf>
    <xf numFmtId="174" fontId="3" fillId="0" borderId="15" xfId="0" applyNumberFormat="1" applyFont="1" applyBorder="1" applyAlignment="1">
      <alignment horizontal="center" vertical="center"/>
    </xf>
    <xf numFmtId="167" fontId="0" fillId="7" borderId="14" xfId="0" applyNumberFormat="1" applyFill="1" applyBorder="1" applyAlignment="1">
      <alignment horizontal="center" vertical="center"/>
    </xf>
    <xf numFmtId="167" fontId="0" fillId="7" borderId="15" xfId="0" applyNumberFormat="1" applyFill="1" applyBorder="1" applyAlignment="1">
      <alignment horizontal="center" vertical="center"/>
    </xf>
    <xf numFmtId="170" fontId="3" fillId="12" borderId="8" xfId="0" applyNumberFormat="1" applyFont="1" applyFill="1" applyBorder="1" applyAlignment="1">
      <alignment horizontal="center" vertical="center"/>
    </xf>
    <xf numFmtId="170" fontId="3" fillId="12" borderId="12" xfId="0" applyNumberFormat="1" applyFont="1" applyFill="1" applyBorder="1" applyAlignment="1">
      <alignment horizontal="center" vertical="center"/>
    </xf>
    <xf numFmtId="177" fontId="3" fillId="0" borderId="14" xfId="1" applyNumberFormat="1" applyFont="1" applyFill="1" applyBorder="1" applyAlignment="1">
      <alignment horizontal="center" vertical="center"/>
    </xf>
    <xf numFmtId="177" fontId="3" fillId="0" borderId="15" xfId="1" applyNumberFormat="1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3" fillId="11" borderId="9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/>
    </xf>
    <xf numFmtId="4" fontId="3" fillId="7" borderId="14" xfId="0" applyNumberFormat="1" applyFont="1" applyFill="1" applyBorder="1" applyAlignment="1">
      <alignment horizontal="center" vertical="center"/>
    </xf>
    <xf numFmtId="4" fontId="3" fillId="7" borderId="15" xfId="0" applyNumberFormat="1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center" wrapText="1"/>
    </xf>
    <xf numFmtId="0" fontId="3" fillId="15" borderId="14" xfId="0" applyFont="1" applyFill="1" applyBorder="1" applyAlignment="1">
      <alignment horizontal="center" vertical="center"/>
    </xf>
    <xf numFmtId="0" fontId="3" fillId="15" borderId="15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5" borderId="10" xfId="0" applyFont="1" applyFill="1" applyBorder="1" applyAlignment="1">
      <alignment horizontal="center" vertical="center"/>
    </xf>
    <xf numFmtId="0" fontId="3" fillId="15" borderId="11" xfId="0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center" vertical="center"/>
    </xf>
    <xf numFmtId="0" fontId="3" fillId="15" borderId="13" xfId="0" applyFont="1" applyFill="1" applyBorder="1" applyAlignment="1">
      <alignment horizontal="center" vertical="center"/>
    </xf>
    <xf numFmtId="166" fontId="3" fillId="7" borderId="14" xfId="0" applyNumberFormat="1" applyFont="1" applyFill="1" applyBorder="1" applyAlignment="1">
      <alignment horizontal="center" vertical="center"/>
    </xf>
    <xf numFmtId="173" fontId="3" fillId="7" borderId="14" xfId="1" applyNumberFormat="1" applyFont="1" applyFill="1" applyBorder="1" applyAlignment="1">
      <alignment horizontal="center" vertical="center" wrapText="1"/>
    </xf>
    <xf numFmtId="173" fontId="3" fillId="7" borderId="15" xfId="1" applyNumberFormat="1" applyFont="1" applyFill="1" applyBorder="1" applyAlignment="1">
      <alignment horizontal="center" vertical="center" wrapText="1"/>
    </xf>
    <xf numFmtId="0" fontId="3" fillId="15" borderId="9" xfId="0" applyFont="1" applyFill="1" applyBorder="1" applyAlignment="1">
      <alignment horizontal="center" vertical="center" wrapText="1"/>
    </xf>
    <xf numFmtId="0" fontId="3" fillId="15" borderId="10" xfId="0" applyFont="1" applyFill="1" applyBorder="1" applyAlignment="1">
      <alignment horizontal="center" vertical="center" wrapText="1"/>
    </xf>
    <xf numFmtId="0" fontId="3" fillId="15" borderId="11" xfId="0" applyFont="1" applyFill="1" applyBorder="1" applyAlignment="1">
      <alignment horizontal="center" vertical="center" wrapText="1"/>
    </xf>
    <xf numFmtId="0" fontId="3" fillId="15" borderId="13" xfId="0" applyFont="1" applyFill="1" applyBorder="1" applyAlignment="1">
      <alignment horizontal="center" vertical="center" wrapText="1"/>
    </xf>
    <xf numFmtId="173" fontId="3" fillId="0" borderId="14" xfId="0" applyNumberFormat="1" applyFont="1" applyBorder="1" applyAlignment="1">
      <alignment horizontal="center" vertical="center" wrapText="1"/>
    </xf>
    <xf numFmtId="173" fontId="3" fillId="0" borderId="15" xfId="0" applyNumberFormat="1" applyFont="1" applyBorder="1" applyAlignment="1">
      <alignment horizontal="center" vertical="center" wrapText="1"/>
    </xf>
    <xf numFmtId="174" fontId="3" fillId="0" borderId="8" xfId="0" applyNumberFormat="1" applyFont="1" applyBorder="1" applyAlignment="1">
      <alignment horizontal="center" vertical="center"/>
    </xf>
    <xf numFmtId="174" fontId="3" fillId="0" borderId="12" xfId="0" applyNumberFormat="1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6" fontId="3" fillId="0" borderId="15" xfId="0" applyNumberFormat="1" applyFont="1" applyBorder="1" applyAlignment="1">
      <alignment horizontal="center" vertical="center"/>
    </xf>
    <xf numFmtId="173" fontId="16" fillId="20" borderId="14" xfId="1" applyNumberFormat="1" applyFont="1" applyFill="1" applyBorder="1" applyAlignment="1">
      <alignment horizontal="center" vertical="center" wrapText="1"/>
    </xf>
    <xf numFmtId="173" fontId="16" fillId="20" borderId="15" xfId="1" applyNumberFormat="1" applyFont="1" applyFill="1" applyBorder="1" applyAlignment="1">
      <alignment horizontal="center" vertical="center" wrapText="1"/>
    </xf>
    <xf numFmtId="11" fontId="3" fillId="0" borderId="14" xfId="1" applyNumberFormat="1" applyFont="1" applyFill="1" applyBorder="1" applyAlignment="1">
      <alignment horizontal="center" vertical="center"/>
    </xf>
    <xf numFmtId="11" fontId="3" fillId="0" borderId="15" xfId="1" applyNumberFormat="1" applyFont="1" applyFill="1" applyBorder="1" applyAlignment="1">
      <alignment horizontal="center" vertical="center"/>
    </xf>
    <xf numFmtId="169" fontId="3" fillId="0" borderId="14" xfId="0" applyNumberFormat="1" applyFont="1" applyBorder="1" applyAlignment="1">
      <alignment horizontal="center" vertical="center" wrapText="1"/>
    </xf>
    <xf numFmtId="169" fontId="3" fillId="0" borderId="15" xfId="0" applyNumberFormat="1" applyFont="1" applyBorder="1" applyAlignment="1">
      <alignment horizontal="center" vertical="center" wrapText="1"/>
    </xf>
    <xf numFmtId="0" fontId="16" fillId="17" borderId="14" xfId="0" applyFont="1" applyFill="1" applyBorder="1" applyAlignment="1">
      <alignment horizontal="center" vertical="center" wrapText="1"/>
    </xf>
    <xf numFmtId="0" fontId="16" fillId="17" borderId="15" xfId="0" applyFont="1" applyFill="1" applyBorder="1" applyAlignment="1">
      <alignment horizontal="center" vertical="center" wrapText="1"/>
    </xf>
    <xf numFmtId="0" fontId="16" fillId="20" borderId="14" xfId="0" applyFont="1" applyFill="1" applyBorder="1" applyAlignment="1">
      <alignment horizontal="center" vertical="center" wrapText="1"/>
    </xf>
    <xf numFmtId="0" fontId="16" fillId="20" borderId="15" xfId="0" applyFont="1" applyFill="1" applyBorder="1" applyAlignment="1">
      <alignment horizontal="center" vertical="center" wrapText="1"/>
    </xf>
    <xf numFmtId="169" fontId="3" fillId="0" borderId="8" xfId="0" applyNumberFormat="1" applyFont="1" applyBorder="1" applyAlignment="1">
      <alignment horizontal="center" vertical="center"/>
    </xf>
    <xf numFmtId="169" fontId="3" fillId="0" borderId="12" xfId="0" applyNumberFormat="1" applyFont="1" applyBorder="1" applyAlignment="1">
      <alignment horizontal="center" vertical="center"/>
    </xf>
    <xf numFmtId="165" fontId="3" fillId="0" borderId="14" xfId="0" applyNumberFormat="1" applyFon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68" fontId="16" fillId="20" borderId="14" xfId="0" applyNumberFormat="1" applyFont="1" applyFill="1" applyBorder="1" applyAlignment="1">
      <alignment horizontal="center" vertical="center" wrapText="1"/>
    </xf>
    <xf numFmtId="168" fontId="16" fillId="20" borderId="15" xfId="0" applyNumberFormat="1" applyFont="1" applyFill="1" applyBorder="1" applyAlignment="1">
      <alignment horizontal="center" vertical="center" wrapText="1"/>
    </xf>
    <xf numFmtId="2" fontId="3" fillId="0" borderId="14" xfId="2" applyNumberFormat="1" applyFont="1" applyFill="1" applyBorder="1" applyAlignment="1">
      <alignment horizontal="center" vertical="center"/>
    </xf>
    <xf numFmtId="2" fontId="3" fillId="0" borderId="15" xfId="2" applyNumberFormat="1" applyFont="1" applyFill="1" applyBorder="1" applyAlignment="1">
      <alignment horizontal="center" vertical="center"/>
    </xf>
    <xf numFmtId="175" fontId="3" fillId="0" borderId="14" xfId="0" applyNumberFormat="1" applyFont="1" applyBorder="1" applyAlignment="1">
      <alignment horizontal="center" vertical="center"/>
    </xf>
    <xf numFmtId="175" fontId="3" fillId="0" borderId="15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 textRotation="135" wrapText="1"/>
    </xf>
    <xf numFmtId="0" fontId="22" fillId="2" borderId="33" xfId="3" applyFont="1" applyFill="1" applyBorder="1" applyAlignment="1">
      <alignment horizontal="center" vertical="center" wrapText="1"/>
    </xf>
    <xf numFmtId="0" fontId="22" fillId="2" borderId="0" xfId="3" applyFont="1" applyFill="1" applyAlignment="1">
      <alignment horizontal="center" vertical="center" wrapText="1"/>
    </xf>
    <xf numFmtId="0" fontId="22" fillId="2" borderId="37" xfId="3" applyFont="1" applyFill="1" applyBorder="1" applyAlignment="1">
      <alignment horizontal="center" vertical="center" wrapText="1"/>
    </xf>
    <xf numFmtId="0" fontId="22" fillId="2" borderId="41" xfId="3" applyFont="1" applyFill="1" applyBorder="1" applyAlignment="1">
      <alignment horizontal="center" vertical="center" wrapText="1"/>
    </xf>
    <xf numFmtId="14" fontId="24" fillId="2" borderId="37" xfId="3" applyNumberFormat="1" applyFont="1" applyFill="1" applyBorder="1" applyAlignment="1">
      <alignment horizontal="left" vertical="center" wrapText="1"/>
    </xf>
    <xf numFmtId="0" fontId="24" fillId="2" borderId="38" xfId="3" applyFont="1" applyFill="1" applyBorder="1" applyAlignment="1">
      <alignment horizontal="left" vertical="center" wrapText="1"/>
    </xf>
    <xf numFmtId="0" fontId="20" fillId="2" borderId="1" xfId="3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30" fillId="2" borderId="1" xfId="3" applyFont="1" applyFill="1" applyBorder="1" applyAlignment="1">
      <alignment horizontal="center" vertical="center" wrapText="1"/>
    </xf>
    <xf numFmtId="0" fontId="29" fillId="2" borderId="1" xfId="3" applyFont="1" applyFill="1" applyBorder="1" applyAlignment="1">
      <alignment horizontal="center" vertical="center" wrapText="1"/>
    </xf>
    <xf numFmtId="14" fontId="31" fillId="2" borderId="1" xfId="3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1" fillId="2" borderId="1" xfId="3" applyFont="1" applyFill="1" applyBorder="1" applyAlignment="1">
      <alignment horizontal="center" vertical="center" wrapText="1"/>
    </xf>
  </cellXfs>
  <cellStyles count="4">
    <cellStyle name="Millares" xfId="2" builtinId="3"/>
    <cellStyle name="Normal" xfId="0" builtinId="0"/>
    <cellStyle name="Normal 2" xfId="3" xr:uid="{0A33E426-019B-4DC3-B55F-D0B2E7E4E637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63500</xdr:rowOff>
    </xdr:from>
    <xdr:to>
      <xdr:col>5</xdr:col>
      <xdr:colOff>746760</xdr:colOff>
      <xdr:row>10</xdr:row>
      <xdr:rowOff>137111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78183C-C28B-882B-FF63-EA0472BD2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500"/>
          <a:ext cx="6322060" cy="1915111"/>
        </a:xfrm>
        <a:prstGeom prst="rect">
          <a:avLst/>
        </a:prstGeom>
      </xdr:spPr>
    </xdr:pic>
    <xdr:clientData/>
  </xdr:twoCellAnchor>
  <xdr:twoCellAnchor editAs="oneCell">
    <xdr:from>
      <xdr:col>3</xdr:col>
      <xdr:colOff>198120</xdr:colOff>
      <xdr:row>19</xdr:row>
      <xdr:rowOff>22860</xdr:rowOff>
    </xdr:from>
    <xdr:to>
      <xdr:col>4</xdr:col>
      <xdr:colOff>449730</xdr:colOff>
      <xdr:row>20</xdr:row>
      <xdr:rowOff>160048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E5980F-517C-FD51-2073-38892CC1E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9400" y="3863340"/>
          <a:ext cx="1729890" cy="320068"/>
        </a:xfrm>
        <a:prstGeom prst="rect">
          <a:avLst/>
        </a:prstGeom>
      </xdr:spPr>
    </xdr:pic>
    <xdr:clientData/>
  </xdr:twoCellAnchor>
  <xdr:twoCellAnchor editAs="oneCell">
    <xdr:from>
      <xdr:col>8</xdr:col>
      <xdr:colOff>109536</xdr:colOff>
      <xdr:row>45</xdr:row>
      <xdr:rowOff>128589</xdr:rowOff>
    </xdr:from>
    <xdr:to>
      <xdr:col>13</xdr:col>
      <xdr:colOff>327261</xdr:colOff>
      <xdr:row>54</xdr:row>
      <xdr:rowOff>84774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B45BE0D-A5E2-4096-8F29-EAA1B2AAD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48624" y="8272464"/>
          <a:ext cx="5527912" cy="158496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8</xdr:col>
      <xdr:colOff>25138</xdr:colOff>
      <xdr:row>42</xdr:row>
      <xdr:rowOff>7619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CED1675-6D09-43E1-A8BB-CC7E43830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70220" y="7863840"/>
          <a:ext cx="1610098" cy="739139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32</xdr:row>
      <xdr:rowOff>152400</xdr:rowOff>
    </xdr:from>
    <xdr:to>
      <xdr:col>8</xdr:col>
      <xdr:colOff>49117</xdr:colOff>
      <xdr:row>37</xdr:row>
      <xdr:rowOff>106679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2CAF547-5FC6-4960-B39D-B99C61E6C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46420" y="6918960"/>
          <a:ext cx="1557877" cy="8686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83820</xdr:rowOff>
    </xdr:from>
    <xdr:to>
      <xdr:col>3</xdr:col>
      <xdr:colOff>1440591</xdr:colOff>
      <xdr:row>46</xdr:row>
      <xdr:rowOff>160020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8C316B1-8090-4182-B9D3-C89FD6D7E5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24704" b="12948"/>
        <a:stretch/>
      </xdr:blipFill>
      <xdr:spPr>
        <a:xfrm>
          <a:off x="0" y="8679180"/>
          <a:ext cx="4740051" cy="807720"/>
        </a:xfrm>
        <a:prstGeom prst="rect">
          <a:avLst/>
        </a:prstGeom>
      </xdr:spPr>
    </xdr:pic>
    <xdr:clientData/>
  </xdr:twoCellAnchor>
  <xdr:twoCellAnchor editAs="oneCell">
    <xdr:from>
      <xdr:col>3</xdr:col>
      <xdr:colOff>1312545</xdr:colOff>
      <xdr:row>75</xdr:row>
      <xdr:rowOff>36195</xdr:rowOff>
    </xdr:from>
    <xdr:to>
      <xdr:col>5</xdr:col>
      <xdr:colOff>599662</xdr:colOff>
      <xdr:row>79</xdr:row>
      <xdr:rowOff>171449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FF86D90-1690-47AE-8A9A-B22F09BD0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12958" y="13609320"/>
          <a:ext cx="1554067" cy="859154"/>
        </a:xfrm>
        <a:prstGeom prst="rect">
          <a:avLst/>
        </a:prstGeom>
      </xdr:spPr>
    </xdr:pic>
    <xdr:clientData/>
  </xdr:twoCellAnchor>
  <xdr:twoCellAnchor editAs="oneCell">
    <xdr:from>
      <xdr:col>15</xdr:col>
      <xdr:colOff>213361</xdr:colOff>
      <xdr:row>90</xdr:row>
      <xdr:rowOff>42862</xdr:rowOff>
    </xdr:from>
    <xdr:to>
      <xdr:col>21</xdr:col>
      <xdr:colOff>358141</xdr:colOff>
      <xdr:row>96</xdr:row>
      <xdr:rowOff>137431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80F7EE3-0D24-8D3B-8509-0DC42EB6A7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2672" b="-1"/>
        <a:stretch/>
      </xdr:blipFill>
      <xdr:spPr>
        <a:xfrm>
          <a:off x="15662911" y="16397287"/>
          <a:ext cx="4888230" cy="1389969"/>
        </a:xfrm>
        <a:prstGeom prst="rect">
          <a:avLst/>
        </a:prstGeom>
      </xdr:spPr>
    </xdr:pic>
    <xdr:clientData/>
  </xdr:twoCellAnchor>
  <xdr:twoCellAnchor editAs="oneCell">
    <xdr:from>
      <xdr:col>16</xdr:col>
      <xdr:colOff>59266</xdr:colOff>
      <xdr:row>115</xdr:row>
      <xdr:rowOff>8466</xdr:rowOff>
    </xdr:from>
    <xdr:to>
      <xdr:col>18</xdr:col>
      <xdr:colOff>200809</xdr:colOff>
      <xdr:row>116</xdr:row>
      <xdr:rowOff>145653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D69BDD3-5347-421C-9776-6E94925EA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2199" y="25010533"/>
          <a:ext cx="1733277" cy="323454"/>
        </a:xfrm>
        <a:prstGeom prst="rect">
          <a:avLst/>
        </a:prstGeom>
      </xdr:spPr>
    </xdr:pic>
    <xdr:clientData/>
  </xdr:twoCellAnchor>
  <xdr:oneCellAnchor>
    <xdr:from>
      <xdr:col>15</xdr:col>
      <xdr:colOff>431800</xdr:colOff>
      <xdr:row>121</xdr:row>
      <xdr:rowOff>101600</xdr:rowOff>
    </xdr:from>
    <xdr:ext cx="5332037" cy="375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C3F5D774-5F1B-4AA2-B28E-DA46A8ABDF1B}"/>
                </a:ext>
              </a:extLst>
            </xdr:cNvPr>
            <xdr:cNvSpPr txBox="1"/>
          </xdr:nvSpPr>
          <xdr:spPr>
            <a:xfrm>
              <a:off x="15934267" y="23012400"/>
              <a:ext cx="5332037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400" b="0"/>
                <a:t>DX-1</a:t>
              </a:r>
              <a14:m>
                <m:oMath xmlns:m="http://schemas.openxmlformats.org/officeDocument/2006/math">
                  <m:r>
                    <a:rPr lang="es-MX" sz="2400" b="0" i="1">
                      <a:latin typeface="Cambria Math" panose="02040503050406030204" pitchFamily="18" charset="0"/>
                    </a:rPr>
                    <m:t>=(−</m:t>
                  </m:r>
                  <m:sSub>
                    <m:sSub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s-MX" sz="2400" b="0" i="1">
                          <a:latin typeface="Cambria Math" panose="02040503050406030204" pitchFamily="18" charset="0"/>
                        </a:rPr>
                        <m:t>15</m:t>
                      </m:r>
                    </m:sub>
                  </m:sSub>
                  <m:r>
                    <a:rPr lang="es-MX" sz="2400" b="0" i="1">
                      <a:latin typeface="Cambria Math" panose="02040503050406030204" pitchFamily="18" charset="0"/>
                    </a:rPr>
                    <m:t>∗[1+0.8∗</m:t>
                  </m:r>
                  <m:sSub>
                    <m:sSub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s-MX" sz="2400" b="0" i="1">
                          <a:latin typeface="Cambria Math" panose="02040503050406030204" pitchFamily="18" charset="0"/>
                        </a:rPr>
                        <m:t>15</m:t>
                      </m:r>
                    </m:sub>
                  </m:sSub>
                  <m:r>
                    <a:rPr lang="es-MX" sz="2400" b="0" i="1">
                      <a:latin typeface="Cambria Math" panose="02040503050406030204" pitchFamily="18" charset="0"/>
                    </a:rPr>
                    <m:t>∗</m:t>
                  </m:r>
                  <m:d>
                    <m:d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2400" b="0" i="1">
                          <a:latin typeface="Cambria Math" panose="02040503050406030204" pitchFamily="18" charset="0"/>
                        </a:rPr>
                        <m:t>𝑡</m:t>
                      </m:r>
                      <m:r>
                        <a:rPr lang="es-MX" sz="2400" b="0" i="1">
                          <a:latin typeface="Cambria Math" panose="02040503050406030204" pitchFamily="18" charset="0"/>
                        </a:rPr>
                        <m:t>−15</m:t>
                      </m:r>
                    </m:e>
                  </m:d>
                  <m:r>
                    <a:rPr lang="es-MX" sz="2400" b="0" i="1">
                      <a:latin typeface="Cambria Math" panose="02040503050406030204" pitchFamily="18" charset="0"/>
                    </a:rPr>
                    <m:t>])</m:t>
                  </m:r>
                </m:oMath>
              </a14:m>
              <a:endParaRPr lang="es-MX" sz="240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C3F5D774-5F1B-4AA2-B28E-DA46A8ABDF1B}"/>
                </a:ext>
              </a:extLst>
            </xdr:cNvPr>
            <xdr:cNvSpPr txBox="1"/>
          </xdr:nvSpPr>
          <xdr:spPr>
            <a:xfrm>
              <a:off x="15934267" y="23012400"/>
              <a:ext cx="5332037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400" b="0"/>
                <a:t>DX-1</a:t>
              </a:r>
              <a:r>
                <a:rPr lang="es-MX" sz="2400" b="0" i="0">
                  <a:latin typeface="Cambria Math" panose="02040503050406030204" pitchFamily="18" charset="0"/>
                </a:rPr>
                <a:t>=(−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15∗[1+0.8∗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15∗(𝑡−15)])</a:t>
              </a:r>
              <a:endParaRPr lang="es-MX" sz="2400"/>
            </a:p>
          </xdr:txBody>
        </xdr:sp>
      </mc:Fallback>
    </mc:AlternateContent>
    <xdr:clientData/>
  </xdr:oneCellAnchor>
  <xdr:oneCellAnchor>
    <xdr:from>
      <xdr:col>15</xdr:col>
      <xdr:colOff>462280</xdr:colOff>
      <xdr:row>124</xdr:row>
      <xdr:rowOff>151553</xdr:rowOff>
    </xdr:from>
    <xdr:ext cx="4577600" cy="375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813B5369-0F32-4B2E-A2E1-27BD41296502}"/>
                </a:ext>
              </a:extLst>
            </xdr:cNvPr>
            <xdr:cNvSpPr txBox="1"/>
          </xdr:nvSpPr>
          <xdr:spPr>
            <a:xfrm>
              <a:off x="15964747" y="23629620"/>
              <a:ext cx="4577600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400" b="0"/>
                <a:t>DX-2</a:t>
              </a:r>
              <a14:m>
                <m:oMath xmlns:m="http://schemas.openxmlformats.org/officeDocument/2006/math">
                  <m:r>
                    <a:rPr lang="es-MX" sz="2400" b="0" i="1">
                      <a:latin typeface="Cambria Math" panose="02040503050406030204" pitchFamily="18" charset="0"/>
                    </a:rPr>
                    <m:t>=(−</m:t>
                  </m:r>
                  <m:sSub>
                    <m:sSub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s-MX" sz="2400" b="0" i="1">
                          <a:latin typeface="Cambria Math" panose="02040503050406030204" pitchFamily="18" charset="0"/>
                        </a:rPr>
                        <m:t>15</m:t>
                      </m:r>
                    </m:sub>
                  </m:sSub>
                  <m:r>
                    <a:rPr lang="es-MX" sz="2400" b="0" i="1">
                      <a:latin typeface="Cambria Math" panose="02040503050406030204" pitchFamily="18" charset="0"/>
                    </a:rPr>
                    <m:t>∗</m:t>
                  </m:r>
                  <m:d>
                    <m:dPr>
                      <m:begChr m:val="["/>
                      <m:endChr m:val="]"/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2400" b="0" i="1">
                          <a:latin typeface="Cambria Math" panose="02040503050406030204" pitchFamily="18" charset="0"/>
                        </a:rPr>
                        <m:t>𝑡</m:t>
                      </m:r>
                      <m:r>
                        <a:rPr lang="es-MX" sz="2400" b="0" i="1">
                          <a:latin typeface="Cambria Math" panose="02040503050406030204" pitchFamily="18" charset="0"/>
                        </a:rPr>
                        <m:t>−15</m:t>
                      </m:r>
                    </m:e>
                  </m:d>
                  <m:r>
                    <a:rPr lang="es-MX" sz="2400" b="0" i="1">
                      <a:latin typeface="Cambria Math" panose="02040503050406030204" pitchFamily="18" charset="0"/>
                    </a:rPr>
                    <m:t>∗0.8∗</m:t>
                  </m:r>
                  <m:sSub>
                    <m:sSub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s-MX" sz="2400" b="0" i="1">
                          <a:latin typeface="Cambria Math" panose="02040503050406030204" pitchFamily="18" charset="0"/>
                        </a:rPr>
                        <m:t>15</m:t>
                      </m:r>
                    </m:sub>
                  </m:sSub>
                  <m:r>
                    <a:rPr lang="es-MX" sz="24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endParaRPr lang="es-MX" sz="24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813B5369-0F32-4B2E-A2E1-27BD41296502}"/>
                </a:ext>
              </a:extLst>
            </xdr:cNvPr>
            <xdr:cNvSpPr txBox="1"/>
          </xdr:nvSpPr>
          <xdr:spPr>
            <a:xfrm>
              <a:off x="15964747" y="23629620"/>
              <a:ext cx="4577600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400" b="0"/>
                <a:t>DX-2</a:t>
              </a:r>
              <a:r>
                <a:rPr lang="es-MX" sz="2400" b="0" i="0">
                  <a:latin typeface="Cambria Math" panose="02040503050406030204" pitchFamily="18" charset="0"/>
                </a:rPr>
                <a:t>=(−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15∗[𝑡−15]∗0.8∗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15)</a:t>
              </a:r>
              <a:endParaRPr lang="es-MX" sz="24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15240</xdr:rowOff>
    </xdr:from>
    <xdr:to>
      <xdr:col>5</xdr:col>
      <xdr:colOff>777651</xdr:colOff>
      <xdr:row>5</xdr:row>
      <xdr:rowOff>91440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759119-712D-4927-95DB-6CD0B61ED5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4704" b="12948"/>
        <a:stretch/>
      </xdr:blipFill>
      <xdr:spPr>
        <a:xfrm>
          <a:off x="0" y="198120"/>
          <a:ext cx="4740051" cy="807720"/>
        </a:xfrm>
        <a:prstGeom prst="rect">
          <a:avLst/>
        </a:prstGeom>
      </xdr:spPr>
    </xdr:pic>
    <xdr:clientData/>
  </xdr:twoCellAnchor>
  <xdr:oneCellAnchor>
    <xdr:from>
      <xdr:col>0</xdr:col>
      <xdr:colOff>579120</xdr:colOff>
      <xdr:row>7</xdr:row>
      <xdr:rowOff>49530</xdr:rowOff>
    </xdr:from>
    <xdr:ext cx="7853560" cy="3984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91DBB85-FB3F-C238-B95B-A02E9EEB8CAE}"/>
                </a:ext>
              </a:extLst>
            </xdr:cNvPr>
            <xdr:cNvSpPr txBox="1"/>
          </xdr:nvSpPr>
          <xdr:spPr>
            <a:xfrm>
              <a:off x="579120" y="1329690"/>
              <a:ext cx="7853560" cy="3984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2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l-GR" sz="24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ρ</m:t>
                        </m:r>
                      </m:e>
                      <m:sub>
                        <m:r>
                          <a:rPr lang="es-MX" sz="2400" b="0" i="1">
                            <a:latin typeface="Cambria Math" panose="02040503050406030204" pitchFamily="18" charset="0"/>
                          </a:rPr>
                          <m:t>𝑡𝑝</m:t>
                        </m:r>
                      </m:sub>
                    </m:sSub>
                    <m:r>
                      <a:rPr lang="es-MX" sz="2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l-GR" sz="24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ρ</m:t>
                        </m:r>
                      </m:e>
                      <m:sub>
                        <m:r>
                          <a:rPr lang="es-MX" sz="2400" b="0" i="1">
                            <a:latin typeface="Cambria Math" panose="02040503050406030204" pitchFamily="18" charset="0"/>
                          </a:rPr>
                          <m:t>15</m:t>
                        </m:r>
                      </m:sub>
                    </m:sSub>
                    <m:r>
                      <a:rPr lang="es-MX" sz="2400" b="0" i="1">
                        <a:latin typeface="Cambria Math" panose="02040503050406030204" pitchFamily="18" charset="0"/>
                      </a:rPr>
                      <m:t>∗</m:t>
                    </m:r>
                    <m:r>
                      <m:rPr>
                        <m:sty m:val="p"/>
                      </m:rPr>
                      <a:rPr lang="es-MX" sz="2400" b="0" i="0">
                        <a:latin typeface="Cambria Math" panose="02040503050406030204" pitchFamily="18" charset="0"/>
                      </a:rPr>
                      <m:t>exp</m:t>
                    </m:r>
                    <m:r>
                      <a:rPr lang="es-MX" sz="2400" b="0" i="1">
                        <a:latin typeface="Cambria Math" panose="02040503050406030204" pitchFamily="18" charset="0"/>
                      </a:rPr>
                      <m:t>⁡(−</m:t>
                    </m:r>
                    <m:sSub>
                      <m:sSubPr>
                        <m:ctrlPr>
                          <a:rPr lang="es-MX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MX" sz="2400" b="0" i="1">
                            <a:latin typeface="Cambria Math" panose="02040503050406030204" pitchFamily="18" charset="0"/>
                          </a:rPr>
                          <m:t>15</m:t>
                        </m:r>
                      </m:sub>
                    </m:sSub>
                    <m:r>
                      <a:rPr lang="es-MX" sz="2400" b="0" i="1">
                        <a:latin typeface="Cambria Math" panose="02040503050406030204" pitchFamily="18" charset="0"/>
                      </a:rPr>
                      <m:t>∗</m:t>
                    </m:r>
                    <m:d>
                      <m:dPr>
                        <m:begChr m:val="["/>
                        <m:endChr m:val="]"/>
                        <m:ctrlPr>
                          <a:rPr lang="es-MX" sz="2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2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MX" sz="2400" b="0" i="1">
                            <a:latin typeface="Cambria Math" panose="02040503050406030204" pitchFamily="18" charset="0"/>
                          </a:rPr>
                          <m:t>−15</m:t>
                        </m:r>
                      </m:e>
                    </m:d>
                    <m:r>
                      <a:rPr lang="es-MX" sz="2400" b="0" i="1">
                        <a:latin typeface="Cambria Math" panose="02040503050406030204" pitchFamily="18" charset="0"/>
                      </a:rPr>
                      <m:t>∗[1+0.8∗</m:t>
                    </m:r>
                    <m:sSub>
                      <m:sSubPr>
                        <m:ctrlPr>
                          <a:rPr lang="es-MX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MX" sz="2400" b="0" i="1">
                            <a:latin typeface="Cambria Math" panose="02040503050406030204" pitchFamily="18" charset="0"/>
                          </a:rPr>
                          <m:t>15</m:t>
                        </m:r>
                      </m:sub>
                    </m:sSub>
                    <m:r>
                      <a:rPr lang="es-MX" sz="2400" b="0" i="1">
                        <a:latin typeface="Cambria Math" panose="02040503050406030204" pitchFamily="18" charset="0"/>
                      </a:rPr>
                      <m:t>∗</m:t>
                    </m:r>
                    <m:d>
                      <m:dPr>
                        <m:ctrlPr>
                          <a:rPr lang="es-MX" sz="2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2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MX" sz="2400" b="0" i="1">
                            <a:latin typeface="Cambria Math" panose="02040503050406030204" pitchFamily="18" charset="0"/>
                          </a:rPr>
                          <m:t>−15</m:t>
                        </m:r>
                      </m:e>
                    </m:d>
                    <m:r>
                      <a:rPr lang="es-MX" sz="2400" b="0" i="1">
                        <a:latin typeface="Cambria Math" panose="02040503050406030204" pitchFamily="18" charset="0"/>
                      </a:rPr>
                      <m:t>])</m:t>
                    </m:r>
                  </m:oMath>
                </m:oMathPara>
              </a14:m>
              <a:endParaRPr lang="es-MX" sz="24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91DBB85-FB3F-C238-B95B-A02E9EEB8CAE}"/>
                </a:ext>
              </a:extLst>
            </xdr:cNvPr>
            <xdr:cNvSpPr txBox="1"/>
          </xdr:nvSpPr>
          <xdr:spPr>
            <a:xfrm>
              <a:off x="579120" y="1329690"/>
              <a:ext cx="7853560" cy="3984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l-GR" sz="2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"ρ</a:t>
              </a:r>
              <a:r>
                <a:rPr lang="es-MX" sz="2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_</a:t>
              </a:r>
              <a:r>
                <a:rPr lang="es-MX" sz="2400" b="0" i="0">
                  <a:latin typeface="Cambria Math" panose="02040503050406030204" pitchFamily="18" charset="0"/>
                </a:rPr>
                <a:t>𝑡𝑝=</a:t>
              </a:r>
              <a:r>
                <a:rPr lang="el-GR" sz="2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"ρ</a:t>
              </a:r>
              <a:r>
                <a:rPr lang="es-MX" sz="2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_</a:t>
              </a:r>
              <a:r>
                <a:rPr lang="es-MX" sz="2400" b="0" i="0">
                  <a:latin typeface="Cambria Math" panose="02040503050406030204" pitchFamily="18" charset="0"/>
                </a:rPr>
                <a:t>15∗exp⁡(−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15∗[𝑡−15]∗[1+0.8∗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15∗(𝑡−15)])</a:t>
              </a:r>
              <a:endParaRPr lang="es-MX" sz="2400"/>
            </a:p>
          </xdr:txBody>
        </xdr:sp>
      </mc:Fallback>
    </mc:AlternateContent>
    <xdr:clientData/>
  </xdr:oneCellAnchor>
  <xdr:oneCellAnchor>
    <xdr:from>
      <xdr:col>0</xdr:col>
      <xdr:colOff>586740</xdr:colOff>
      <xdr:row>10</xdr:row>
      <xdr:rowOff>34290</xdr:rowOff>
    </xdr:from>
    <xdr:ext cx="8158836" cy="7351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C02542C0-C0E1-4976-BCFE-A479B3CE10DC}"/>
                </a:ext>
              </a:extLst>
            </xdr:cNvPr>
            <xdr:cNvSpPr txBox="1"/>
          </xdr:nvSpPr>
          <xdr:spPr>
            <a:xfrm>
              <a:off x="586740" y="1863090"/>
              <a:ext cx="8158836" cy="7351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2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2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ρ</m:t>
                            </m:r>
                          </m:e>
                          <m:sub>
                            <m:r>
                              <a:rPr lang="es-MX" sz="2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𝑡𝑝</m:t>
                            </m:r>
                          </m:sub>
                        </m:sSub>
                      </m:num>
                      <m:den>
                        <m:r>
                          <a:rPr lang="es-MX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r>
                          <a:rPr lang="es-MX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den>
                    </m:f>
                    <m:r>
                      <a:rPr lang="es-MX" sz="2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el-GR" sz="24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ρ</m:t>
                        </m:r>
                      </m:e>
                      <m:sub>
                        <m:r>
                          <a:rPr lang="es-MX" sz="2400" b="0" i="1">
                            <a:latin typeface="Cambria Math" panose="02040503050406030204" pitchFamily="18" charset="0"/>
                          </a:rPr>
                          <m:t>15</m:t>
                        </m:r>
                      </m:sub>
                    </m:sSub>
                    <m:r>
                      <a:rPr lang="es-MX" sz="2400" b="0" i="1">
                        <a:latin typeface="Cambria Math" panose="02040503050406030204" pitchFamily="18" charset="0"/>
                      </a:rPr>
                      <m:t>∗</m:t>
                    </m:r>
                    <m:r>
                      <m:rPr>
                        <m:sty m:val="p"/>
                      </m:rPr>
                      <a:rPr lang="es-MX" sz="2400" b="0" i="0">
                        <a:latin typeface="Cambria Math" panose="02040503050406030204" pitchFamily="18" charset="0"/>
                      </a:rPr>
                      <m:t>exp</m:t>
                    </m:r>
                    <m:r>
                      <a:rPr lang="es-MX" sz="2400" b="0" i="1">
                        <a:latin typeface="Cambria Math" panose="02040503050406030204" pitchFamily="18" charset="0"/>
                      </a:rPr>
                      <m:t>⁡(−</m:t>
                    </m:r>
                    <m:sSub>
                      <m:sSubPr>
                        <m:ctrlPr>
                          <a:rPr lang="es-MX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MX" sz="2400" b="0" i="1">
                            <a:latin typeface="Cambria Math" panose="02040503050406030204" pitchFamily="18" charset="0"/>
                          </a:rPr>
                          <m:t>15</m:t>
                        </m:r>
                      </m:sub>
                    </m:sSub>
                    <m:r>
                      <a:rPr lang="es-MX" sz="2400" b="0" i="1">
                        <a:latin typeface="Cambria Math" panose="02040503050406030204" pitchFamily="18" charset="0"/>
                      </a:rPr>
                      <m:t>∗</m:t>
                    </m:r>
                    <m:d>
                      <m:dPr>
                        <m:begChr m:val="["/>
                        <m:endChr m:val="]"/>
                        <m:ctrlPr>
                          <a:rPr lang="es-MX" sz="2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2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MX" sz="2400" b="0" i="1">
                            <a:latin typeface="Cambria Math" panose="02040503050406030204" pitchFamily="18" charset="0"/>
                          </a:rPr>
                          <m:t>−15</m:t>
                        </m:r>
                      </m:e>
                    </m:d>
                    <m:r>
                      <a:rPr lang="es-MX" sz="2400" b="0" i="1">
                        <a:latin typeface="Cambria Math" panose="02040503050406030204" pitchFamily="18" charset="0"/>
                      </a:rPr>
                      <m:t>∗[1+0.8∗</m:t>
                    </m:r>
                    <m:sSub>
                      <m:sSubPr>
                        <m:ctrlPr>
                          <a:rPr lang="es-MX" sz="2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MX" sz="2400" b="0" i="1">
                            <a:latin typeface="Cambria Math" panose="02040503050406030204" pitchFamily="18" charset="0"/>
                          </a:rPr>
                          <m:t>15</m:t>
                        </m:r>
                      </m:sub>
                    </m:sSub>
                    <m:r>
                      <a:rPr lang="es-MX" sz="2400" b="0" i="1">
                        <a:latin typeface="Cambria Math" panose="02040503050406030204" pitchFamily="18" charset="0"/>
                      </a:rPr>
                      <m:t>∗</m:t>
                    </m:r>
                    <m:d>
                      <m:dPr>
                        <m:ctrlPr>
                          <a:rPr lang="es-MX" sz="2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24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s-MX" sz="2400" b="0" i="1">
                            <a:latin typeface="Cambria Math" panose="02040503050406030204" pitchFamily="18" charset="0"/>
                          </a:rPr>
                          <m:t>−15</m:t>
                        </m:r>
                      </m:e>
                    </m:d>
                    <m:r>
                      <a:rPr lang="es-MX" sz="2400" b="0" i="1">
                        <a:latin typeface="Cambria Math" panose="02040503050406030204" pitchFamily="18" charset="0"/>
                      </a:rPr>
                      <m:t>])</m:t>
                    </m:r>
                  </m:oMath>
                </m:oMathPara>
              </a14:m>
              <a:endParaRPr lang="es-MX" sz="24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C02542C0-C0E1-4976-BCFE-A479B3CE10DC}"/>
                </a:ext>
              </a:extLst>
            </xdr:cNvPr>
            <xdr:cNvSpPr txBox="1"/>
          </xdr:nvSpPr>
          <xdr:spPr>
            <a:xfrm>
              <a:off x="586740" y="1863090"/>
              <a:ext cx="8158836" cy="7351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400" b="0" i="0">
                  <a:latin typeface="Cambria Math" panose="02040503050406030204" pitchFamily="18" charset="0"/>
                </a:rPr>
                <a:t>(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l-GR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ρ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_𝑡𝑝)/𝜕𝑡</a:t>
              </a:r>
              <a:r>
                <a:rPr lang="es-MX" sz="2400" b="0" i="0">
                  <a:latin typeface="Cambria Math" panose="02040503050406030204" pitchFamily="18" charset="0"/>
                </a:rPr>
                <a:t>=</a:t>
              </a:r>
              <a:r>
                <a:rPr lang="el-GR" sz="2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"ρ</a:t>
              </a:r>
              <a:r>
                <a:rPr lang="es-MX" sz="2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_</a:t>
              </a:r>
              <a:r>
                <a:rPr lang="es-MX" sz="2400" b="0" i="0">
                  <a:latin typeface="Cambria Math" panose="02040503050406030204" pitchFamily="18" charset="0"/>
                </a:rPr>
                <a:t>15∗exp⁡(−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15∗[𝑡−15]∗[1+0.8∗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15∗(𝑡−15)])</a:t>
              </a:r>
              <a:endParaRPr lang="es-MX" sz="2400"/>
            </a:p>
          </xdr:txBody>
        </xdr:sp>
      </mc:Fallback>
    </mc:AlternateContent>
    <xdr:clientData/>
  </xdr:oneCellAnchor>
  <xdr:oneCellAnchor>
    <xdr:from>
      <xdr:col>0</xdr:col>
      <xdr:colOff>213360</xdr:colOff>
      <xdr:row>16</xdr:row>
      <xdr:rowOff>11430</xdr:rowOff>
    </xdr:from>
    <xdr:ext cx="6457473" cy="375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F8B1DC27-CB0E-4055-BCF5-ADE20C4D78E7}"/>
                </a:ext>
              </a:extLst>
            </xdr:cNvPr>
            <xdr:cNvSpPr txBox="1"/>
          </xdr:nvSpPr>
          <xdr:spPr>
            <a:xfrm>
              <a:off x="213360" y="2937510"/>
              <a:ext cx="6457473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400" b="0"/>
                <a:t>DX</a:t>
              </a:r>
              <a14:m>
                <m:oMath xmlns:m="http://schemas.openxmlformats.org/officeDocument/2006/math">
                  <m:r>
                    <a:rPr lang="es-MX" sz="2400" b="0" i="1">
                      <a:latin typeface="Cambria Math" panose="02040503050406030204" pitchFamily="18" charset="0"/>
                    </a:rPr>
                    <m:t>=(−</m:t>
                  </m:r>
                  <m:sSub>
                    <m:sSub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s-MX" sz="2400" b="0" i="1">
                          <a:latin typeface="Cambria Math" panose="02040503050406030204" pitchFamily="18" charset="0"/>
                        </a:rPr>
                        <m:t>15</m:t>
                      </m:r>
                    </m:sub>
                  </m:sSub>
                  <m:r>
                    <a:rPr lang="es-MX" sz="2400" b="0" i="1">
                      <a:latin typeface="Cambria Math" panose="02040503050406030204" pitchFamily="18" charset="0"/>
                    </a:rPr>
                    <m:t>∗</m:t>
                  </m:r>
                  <m:d>
                    <m:dPr>
                      <m:begChr m:val="["/>
                      <m:endChr m:val="]"/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2400" b="0" i="1">
                          <a:latin typeface="Cambria Math" panose="02040503050406030204" pitchFamily="18" charset="0"/>
                        </a:rPr>
                        <m:t>𝑡</m:t>
                      </m:r>
                      <m:r>
                        <a:rPr lang="es-MX" sz="2400" b="0" i="1">
                          <a:latin typeface="Cambria Math" panose="02040503050406030204" pitchFamily="18" charset="0"/>
                        </a:rPr>
                        <m:t>−15</m:t>
                      </m:r>
                    </m:e>
                  </m:d>
                  <m:r>
                    <a:rPr lang="es-MX" sz="2400" b="0" i="1">
                      <a:latin typeface="Cambria Math" panose="02040503050406030204" pitchFamily="18" charset="0"/>
                    </a:rPr>
                    <m:t>∗[1+0.8∗</m:t>
                  </m:r>
                  <m:sSub>
                    <m:sSub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s-MX" sz="2400" b="0" i="1">
                          <a:latin typeface="Cambria Math" panose="02040503050406030204" pitchFamily="18" charset="0"/>
                        </a:rPr>
                        <m:t>15</m:t>
                      </m:r>
                    </m:sub>
                  </m:sSub>
                  <m:r>
                    <a:rPr lang="es-MX" sz="2400" b="0" i="1">
                      <a:latin typeface="Cambria Math" panose="02040503050406030204" pitchFamily="18" charset="0"/>
                    </a:rPr>
                    <m:t>∗</m:t>
                  </m:r>
                  <m:d>
                    <m:d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2400" b="0" i="1">
                          <a:latin typeface="Cambria Math" panose="02040503050406030204" pitchFamily="18" charset="0"/>
                        </a:rPr>
                        <m:t>𝑡</m:t>
                      </m:r>
                      <m:r>
                        <a:rPr lang="es-MX" sz="2400" b="0" i="1">
                          <a:latin typeface="Cambria Math" panose="02040503050406030204" pitchFamily="18" charset="0"/>
                        </a:rPr>
                        <m:t>−15</m:t>
                      </m:r>
                    </m:e>
                  </m:d>
                  <m:r>
                    <a:rPr lang="es-MX" sz="2400" b="0" i="1">
                      <a:latin typeface="Cambria Math" panose="02040503050406030204" pitchFamily="18" charset="0"/>
                    </a:rPr>
                    <m:t>])</m:t>
                  </m:r>
                </m:oMath>
              </a14:m>
              <a:endParaRPr lang="es-MX" sz="24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F8B1DC27-CB0E-4055-BCF5-ADE20C4D78E7}"/>
                </a:ext>
              </a:extLst>
            </xdr:cNvPr>
            <xdr:cNvSpPr txBox="1"/>
          </xdr:nvSpPr>
          <xdr:spPr>
            <a:xfrm>
              <a:off x="213360" y="2937510"/>
              <a:ext cx="6457473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400" b="0"/>
                <a:t>DX</a:t>
              </a:r>
              <a:r>
                <a:rPr lang="es-MX" sz="2400" b="0" i="0">
                  <a:latin typeface="Cambria Math" panose="02040503050406030204" pitchFamily="18" charset="0"/>
                </a:rPr>
                <a:t>=(−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15∗[𝑡−15]∗[1+0.8∗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15∗(𝑡−15)])</a:t>
              </a:r>
              <a:endParaRPr lang="es-MX" sz="2400"/>
            </a:p>
          </xdr:txBody>
        </xdr:sp>
      </mc:Fallback>
    </mc:AlternateContent>
    <xdr:clientData/>
  </xdr:oneCellAnchor>
  <xdr:oneCellAnchor>
    <xdr:from>
      <xdr:col>0</xdr:col>
      <xdr:colOff>160020</xdr:colOff>
      <xdr:row>18</xdr:row>
      <xdr:rowOff>87630</xdr:rowOff>
    </xdr:from>
    <xdr:ext cx="5332037" cy="375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EEA0DCC8-EABF-4C3C-B3E9-6F4EB68BB6FF}"/>
                </a:ext>
              </a:extLst>
            </xdr:cNvPr>
            <xdr:cNvSpPr txBox="1"/>
          </xdr:nvSpPr>
          <xdr:spPr>
            <a:xfrm>
              <a:off x="160020" y="3463290"/>
              <a:ext cx="5332037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400" b="0"/>
                <a:t>DX-1</a:t>
              </a:r>
              <a14:m>
                <m:oMath xmlns:m="http://schemas.openxmlformats.org/officeDocument/2006/math">
                  <m:r>
                    <a:rPr lang="es-MX" sz="2400" b="0" i="1">
                      <a:latin typeface="Cambria Math" panose="02040503050406030204" pitchFamily="18" charset="0"/>
                    </a:rPr>
                    <m:t>=(−</m:t>
                  </m:r>
                  <m:sSub>
                    <m:sSub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s-MX" sz="2400" b="0" i="1">
                          <a:latin typeface="Cambria Math" panose="02040503050406030204" pitchFamily="18" charset="0"/>
                        </a:rPr>
                        <m:t>15</m:t>
                      </m:r>
                    </m:sub>
                  </m:sSub>
                  <m:r>
                    <a:rPr lang="es-MX" sz="2400" b="0" i="1">
                      <a:latin typeface="Cambria Math" panose="02040503050406030204" pitchFamily="18" charset="0"/>
                    </a:rPr>
                    <m:t>∗[1+0.8∗</m:t>
                  </m:r>
                  <m:sSub>
                    <m:sSub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s-MX" sz="2400" b="0" i="1">
                          <a:latin typeface="Cambria Math" panose="02040503050406030204" pitchFamily="18" charset="0"/>
                        </a:rPr>
                        <m:t>15</m:t>
                      </m:r>
                    </m:sub>
                  </m:sSub>
                  <m:r>
                    <a:rPr lang="es-MX" sz="2400" b="0" i="1">
                      <a:latin typeface="Cambria Math" panose="02040503050406030204" pitchFamily="18" charset="0"/>
                    </a:rPr>
                    <m:t>∗</m:t>
                  </m:r>
                  <m:d>
                    <m:d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2400" b="0" i="1">
                          <a:latin typeface="Cambria Math" panose="02040503050406030204" pitchFamily="18" charset="0"/>
                        </a:rPr>
                        <m:t>𝑡</m:t>
                      </m:r>
                      <m:r>
                        <a:rPr lang="es-MX" sz="2400" b="0" i="1">
                          <a:latin typeface="Cambria Math" panose="02040503050406030204" pitchFamily="18" charset="0"/>
                        </a:rPr>
                        <m:t>−15</m:t>
                      </m:r>
                    </m:e>
                  </m:d>
                  <m:r>
                    <a:rPr lang="es-MX" sz="2400" b="0" i="1">
                      <a:latin typeface="Cambria Math" panose="02040503050406030204" pitchFamily="18" charset="0"/>
                    </a:rPr>
                    <m:t>])</m:t>
                  </m:r>
                </m:oMath>
              </a14:m>
              <a:endParaRPr lang="es-MX" sz="24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EEA0DCC8-EABF-4C3C-B3E9-6F4EB68BB6FF}"/>
                </a:ext>
              </a:extLst>
            </xdr:cNvPr>
            <xdr:cNvSpPr txBox="1"/>
          </xdr:nvSpPr>
          <xdr:spPr>
            <a:xfrm>
              <a:off x="160020" y="3463290"/>
              <a:ext cx="5332037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400" b="0"/>
                <a:t>DX-1</a:t>
              </a:r>
              <a:r>
                <a:rPr lang="es-MX" sz="2400" b="0" i="0">
                  <a:latin typeface="Cambria Math" panose="02040503050406030204" pitchFamily="18" charset="0"/>
                </a:rPr>
                <a:t>=(−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15∗[1+0.8∗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15∗(𝑡−15)])</a:t>
              </a:r>
              <a:endParaRPr lang="es-MX" sz="2400"/>
            </a:p>
          </xdr:txBody>
        </xdr:sp>
      </mc:Fallback>
    </mc:AlternateContent>
    <xdr:clientData/>
  </xdr:oneCellAnchor>
  <xdr:oneCellAnchor>
    <xdr:from>
      <xdr:col>0</xdr:col>
      <xdr:colOff>190500</xdr:colOff>
      <xdr:row>21</xdr:row>
      <xdr:rowOff>156210</xdr:rowOff>
    </xdr:from>
    <xdr:ext cx="4577600" cy="375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697D0CE6-AE6F-4162-833D-328DDAE1A5B4}"/>
                </a:ext>
              </a:extLst>
            </xdr:cNvPr>
            <xdr:cNvSpPr txBox="1"/>
          </xdr:nvSpPr>
          <xdr:spPr>
            <a:xfrm>
              <a:off x="190500" y="4080510"/>
              <a:ext cx="4577600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400" b="0"/>
                <a:t>DX-2</a:t>
              </a:r>
              <a14:m>
                <m:oMath xmlns:m="http://schemas.openxmlformats.org/officeDocument/2006/math">
                  <m:r>
                    <a:rPr lang="es-MX" sz="2400" b="0" i="1">
                      <a:latin typeface="Cambria Math" panose="02040503050406030204" pitchFamily="18" charset="0"/>
                    </a:rPr>
                    <m:t>=(−</m:t>
                  </m:r>
                  <m:sSub>
                    <m:sSub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s-MX" sz="2400" b="0" i="1">
                          <a:latin typeface="Cambria Math" panose="02040503050406030204" pitchFamily="18" charset="0"/>
                        </a:rPr>
                        <m:t>15</m:t>
                      </m:r>
                    </m:sub>
                  </m:sSub>
                  <m:r>
                    <a:rPr lang="es-MX" sz="2400" b="0" i="1">
                      <a:latin typeface="Cambria Math" panose="02040503050406030204" pitchFamily="18" charset="0"/>
                    </a:rPr>
                    <m:t>∗</m:t>
                  </m:r>
                  <m:d>
                    <m:dPr>
                      <m:begChr m:val="["/>
                      <m:endChr m:val="]"/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2400" b="0" i="1">
                          <a:latin typeface="Cambria Math" panose="02040503050406030204" pitchFamily="18" charset="0"/>
                        </a:rPr>
                        <m:t>𝑡</m:t>
                      </m:r>
                      <m:r>
                        <a:rPr lang="es-MX" sz="2400" b="0" i="1">
                          <a:latin typeface="Cambria Math" panose="02040503050406030204" pitchFamily="18" charset="0"/>
                        </a:rPr>
                        <m:t>−15</m:t>
                      </m:r>
                    </m:e>
                  </m:d>
                  <m:r>
                    <a:rPr lang="es-MX" sz="2400" b="0" i="1">
                      <a:latin typeface="Cambria Math" panose="02040503050406030204" pitchFamily="18" charset="0"/>
                    </a:rPr>
                    <m:t>∗0.8∗</m:t>
                  </m:r>
                  <m:sSub>
                    <m:sSub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s-MX" sz="2400" b="0" i="1">
                          <a:latin typeface="Cambria Math" panose="02040503050406030204" pitchFamily="18" charset="0"/>
                        </a:rPr>
                        <m:t>15</m:t>
                      </m:r>
                    </m:sub>
                  </m:sSub>
                  <m:r>
                    <a:rPr lang="es-MX" sz="24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endParaRPr lang="es-MX" sz="24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697D0CE6-AE6F-4162-833D-328DDAE1A5B4}"/>
                </a:ext>
              </a:extLst>
            </xdr:cNvPr>
            <xdr:cNvSpPr txBox="1"/>
          </xdr:nvSpPr>
          <xdr:spPr>
            <a:xfrm>
              <a:off x="190500" y="4080510"/>
              <a:ext cx="4577600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400" b="0"/>
                <a:t>DX-2</a:t>
              </a:r>
              <a:r>
                <a:rPr lang="es-MX" sz="2400" b="0" i="0">
                  <a:latin typeface="Cambria Math" panose="02040503050406030204" pitchFamily="18" charset="0"/>
                </a:rPr>
                <a:t>=(−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15∗[𝑡−15]∗0.8∗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15)</a:t>
              </a:r>
              <a:endParaRPr lang="es-MX" sz="2400"/>
            </a:p>
          </xdr:txBody>
        </xdr:sp>
      </mc:Fallback>
    </mc:AlternateContent>
    <xdr:clientData/>
  </xdr:oneCellAnchor>
  <xdr:twoCellAnchor editAs="oneCell">
    <xdr:from>
      <xdr:col>0</xdr:col>
      <xdr:colOff>152400</xdr:colOff>
      <xdr:row>25</xdr:row>
      <xdr:rowOff>0</xdr:rowOff>
    </xdr:from>
    <xdr:to>
      <xdr:col>9</xdr:col>
      <xdr:colOff>289790</xdr:colOff>
      <xdr:row>30</xdr:row>
      <xdr:rowOff>121920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3FB6128-AD12-8EC0-FF5E-CDCA81E65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4655820"/>
          <a:ext cx="7269710" cy="1036320"/>
        </a:xfrm>
        <a:prstGeom prst="rect">
          <a:avLst/>
        </a:prstGeom>
      </xdr:spPr>
    </xdr:pic>
    <xdr:clientData/>
  </xdr:twoCellAnchor>
  <xdr:oneCellAnchor>
    <xdr:from>
      <xdr:col>0</xdr:col>
      <xdr:colOff>251460</xdr:colOff>
      <xdr:row>32</xdr:row>
      <xdr:rowOff>64770</xdr:rowOff>
    </xdr:from>
    <xdr:ext cx="4614212" cy="6865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4FAE65C4-7D43-F210-97B3-55C3220B75EE}"/>
                </a:ext>
              </a:extLst>
            </xdr:cNvPr>
            <xdr:cNvSpPr txBox="1"/>
          </xdr:nvSpPr>
          <xdr:spPr>
            <a:xfrm>
              <a:off x="251460" y="6000750"/>
              <a:ext cx="4614212" cy="6865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num>
                      <m:den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h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𝑥</m:t>
                            </m:r>
                          </m:sub>
                        </m:sSub>
                      </m:den>
                    </m:f>
                    <m:r>
                      <a:rPr lang="es-MX" sz="20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s-MX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20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20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d>
                              <m:dPr>
                                <m:begChr m:val="["/>
                                <m:endChr m:val="]"/>
                                <m:ctrlP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d>
                          </m:den>
                        </m:f>
                        <m:r>
                          <a:rPr lang="es-MX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s-MX" sz="20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𝐶𝑇𝑆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𝐶𝑇𝐿</m:t>
                    </m:r>
                  </m:oMath>
                </m:oMathPara>
              </a14:m>
              <a:endParaRPr lang="es-MX" sz="20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4FAE65C4-7D43-F210-97B3-55C3220B75EE}"/>
                </a:ext>
              </a:extLst>
            </xdr:cNvPr>
            <xdr:cNvSpPr txBox="1"/>
          </xdr:nvSpPr>
          <xdr:spPr>
            <a:xfrm>
              <a:off x="251460" y="6000750"/>
              <a:ext cx="4614212" cy="6865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000" i="0">
                  <a:latin typeface="Cambria Math" panose="02040503050406030204" pitchFamily="18" charset="0"/>
                </a:rPr>
                <a:t>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𝑉_𝑏)/(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ℎ_𝑥 )</a:t>
              </a:r>
              <a:r>
                <a:rPr lang="es-MX" sz="2000" b="0" i="0">
                  <a:latin typeface="Cambria Math" panose="02040503050406030204" pitchFamily="18" charset="0"/>
                </a:rPr>
                <a:t>={1/[ℎ_2−ℎ_1 ] 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∙[𝑣_2−𝑣_1 ]}</a:t>
              </a:r>
              <a:r>
                <a:rPr lang="es-MX" sz="2000" b="0" i="0">
                  <a:latin typeface="Cambria Math" panose="02040503050406030204" pitchFamily="18" charset="0"/>
                </a:rPr>
                <a:t>∗𝐶𝑇𝑆∗𝐶𝑇𝐿</a:t>
              </a:r>
              <a:endParaRPr lang="es-MX" sz="2000"/>
            </a:p>
          </xdr:txBody>
        </xdr:sp>
      </mc:Fallback>
    </mc:AlternateContent>
    <xdr:clientData/>
  </xdr:oneCellAnchor>
  <xdr:oneCellAnchor>
    <xdr:from>
      <xdr:col>0</xdr:col>
      <xdr:colOff>266700</xdr:colOff>
      <xdr:row>37</xdr:row>
      <xdr:rowOff>163830</xdr:rowOff>
    </xdr:from>
    <xdr:ext cx="7184980" cy="6951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66D703F3-2750-451F-8E88-2EAA240A123F}"/>
                </a:ext>
              </a:extLst>
            </xdr:cNvPr>
            <xdr:cNvSpPr txBox="1"/>
          </xdr:nvSpPr>
          <xdr:spPr>
            <a:xfrm>
              <a:off x="266700" y="7014210"/>
              <a:ext cx="7184980" cy="6951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num>
                      <m:den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h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es-MX" sz="20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s-MX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20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20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num>
                          <m:den>
                            <m:d>
                              <m:dPr>
                                <m:begChr m:val="["/>
                                <m:endChr m:val="]"/>
                                <m:ctrlP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d>
                          </m:den>
                        </m:f>
                        <m:r>
                          <a:rPr lang="es-MX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</m:d>
                        <m:r>
                          <a:rPr lang="es-MX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d>
                              <m:dPr>
                                <m:begChr m:val="["/>
                                <m:endChr m:val="]"/>
                                <m:ctrlP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MX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𝑥</m:t>
                                    </m:r>
                                  </m:sub>
                                </m:sSub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s-MX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d>
                          </m:num>
                          <m:den>
                            <m:sSup>
                              <m:sSupPr>
                                <m:ctrlP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MX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s-MX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∙[</m:t>
                        </m:r>
                        <m:sSub>
                          <m:sSubPr>
                            <m:ctrlP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  <m:r>
                          <a:rPr lang="es-MX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s-MX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]</m:t>
                        </m:r>
                      </m:e>
                    </m:d>
                    <m:r>
                      <a:rPr lang="es-MX" sz="20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𝐶𝑇𝑆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𝐶𝑇𝐿</m:t>
                    </m:r>
                  </m:oMath>
                </m:oMathPara>
              </a14:m>
              <a:endParaRPr lang="es-MX" sz="200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66D703F3-2750-451F-8E88-2EAA240A123F}"/>
                </a:ext>
              </a:extLst>
            </xdr:cNvPr>
            <xdr:cNvSpPr txBox="1"/>
          </xdr:nvSpPr>
          <xdr:spPr>
            <a:xfrm>
              <a:off x="266700" y="7014210"/>
              <a:ext cx="7184980" cy="6951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000" i="0">
                  <a:latin typeface="Cambria Math" panose="02040503050406030204" pitchFamily="18" charset="0"/>
                </a:rPr>
                <a:t>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𝑉_𝑏)/(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ℎ_1 )</a:t>
              </a:r>
              <a:r>
                <a:rPr lang="es-MX" sz="2000" b="0" i="0">
                  <a:latin typeface="Cambria Math" panose="02040503050406030204" pitchFamily="18" charset="0"/>
                </a:rPr>
                <a:t>={(−1)/[ℎ_2−ℎ_1 ] 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∙[𝑣_2−𝑣_1 ]−[ℎ_𝑥−ℎ_1 ]/〖ℎ_1〗^2 ∙[𝑣_2−𝑣_1]}</a:t>
              </a:r>
              <a:r>
                <a:rPr lang="es-MX" sz="2000" b="0" i="0">
                  <a:latin typeface="Cambria Math" panose="02040503050406030204" pitchFamily="18" charset="0"/>
                </a:rPr>
                <a:t>∗𝐶𝑇𝑆∗𝐶𝑇𝐿</a:t>
              </a:r>
              <a:endParaRPr lang="es-MX" sz="2000"/>
            </a:p>
          </xdr:txBody>
        </xdr:sp>
      </mc:Fallback>
    </mc:AlternateContent>
    <xdr:clientData/>
  </xdr:oneCellAnchor>
  <xdr:oneCellAnchor>
    <xdr:from>
      <xdr:col>0</xdr:col>
      <xdr:colOff>175260</xdr:colOff>
      <xdr:row>42</xdr:row>
      <xdr:rowOff>179070</xdr:rowOff>
    </xdr:from>
    <xdr:ext cx="4960332" cy="6865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35C0E8C4-B7E7-4C4D-8FBA-2368B6A1DAA2}"/>
                </a:ext>
              </a:extLst>
            </xdr:cNvPr>
            <xdr:cNvSpPr txBox="1"/>
          </xdr:nvSpPr>
          <xdr:spPr>
            <a:xfrm>
              <a:off x="175260" y="7943850"/>
              <a:ext cx="4960332" cy="6865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num>
                      <m:den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h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  <m:r>
                      <a:rPr lang="es-MX" sz="20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s-MX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MX" sz="20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2000" b="0" i="1">
                                <a:latin typeface="Cambria Math" panose="02040503050406030204" pitchFamily="18" charset="0"/>
                              </a:rPr>
                              <m:t>[</m:t>
                            </m:r>
                            <m:sSub>
                              <m:sSubPr>
                                <m:ctrlP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e>
                              <m:sub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sub>
                            </m:sSub>
                            <m:r>
                              <a:rPr lang="es-MX" sz="2000" b="0" i="1">
                                <a:latin typeface="Cambria Math" panose="02040503050406030204" pitchFamily="18" charset="0"/>
                              </a:rPr>
                              <m:t>− </m:t>
                            </m:r>
                            <m:sSub>
                              <m:sSubPr>
                                <m:ctrlP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  <m:t>h</m:t>
                                </m:r>
                              </m:e>
                              <m:sub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s-MX" sz="2000" b="0" i="1">
                                <a:latin typeface="Cambria Math" panose="02040503050406030204" pitchFamily="18" charset="0"/>
                              </a:rPr>
                              <m:t>]</m:t>
                            </m:r>
                          </m:num>
                          <m:den>
                            <m:r>
                              <a:rPr lang="es-MX" sz="2000" b="0" i="1">
                                <a:latin typeface="Cambria Math" panose="02040503050406030204" pitchFamily="18" charset="0"/>
                              </a:rPr>
                              <m:t>[</m:t>
                            </m:r>
                            <m:sSup>
                              <m:sSupPr>
                                <m:ctrlP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  <m:t>]</m:t>
                                </m:r>
                              </m:e>
                              <m:sup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s-MX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𝑣</m:t>
                                </m:r>
                              </m:e>
                              <m:sub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s-MX" sz="20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𝐶𝑇𝑆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𝐶𝑇𝐿</m:t>
                    </m:r>
                  </m:oMath>
                </m:oMathPara>
              </a14:m>
              <a:endParaRPr lang="es-MX" sz="20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35C0E8C4-B7E7-4C4D-8FBA-2368B6A1DAA2}"/>
                </a:ext>
              </a:extLst>
            </xdr:cNvPr>
            <xdr:cNvSpPr txBox="1"/>
          </xdr:nvSpPr>
          <xdr:spPr>
            <a:xfrm>
              <a:off x="175260" y="7943850"/>
              <a:ext cx="4960332" cy="6865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000" i="0">
                  <a:latin typeface="Cambria Math" panose="02040503050406030204" pitchFamily="18" charset="0"/>
                </a:rPr>
                <a:t>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𝑉_𝑏)/(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ℎ_2 )</a:t>
              </a:r>
              <a:r>
                <a:rPr lang="es-MX" sz="2000" b="0" i="0">
                  <a:latin typeface="Cambria Math" panose="02040503050406030204" pitchFamily="18" charset="0"/>
                </a:rPr>
                <a:t>={−([ℎ_𝑥− ℎ_1])/([〖ℎ_2−ℎ_1]〗^2 )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∙[𝑣_2−𝑣_1 ]}</a:t>
              </a:r>
              <a:r>
                <a:rPr lang="es-MX" sz="2000" b="0" i="0">
                  <a:latin typeface="Cambria Math" panose="02040503050406030204" pitchFamily="18" charset="0"/>
                </a:rPr>
                <a:t>∗𝐶𝑇𝑆∗𝐶𝑇𝐿</a:t>
              </a:r>
              <a:endParaRPr lang="es-MX" sz="2000"/>
            </a:p>
          </xdr:txBody>
        </xdr:sp>
      </mc:Fallback>
    </mc:AlternateContent>
    <xdr:clientData/>
  </xdr:oneCellAnchor>
  <xdr:oneCellAnchor>
    <xdr:from>
      <xdr:col>0</xdr:col>
      <xdr:colOff>114300</xdr:colOff>
      <xdr:row>48</xdr:row>
      <xdr:rowOff>64770</xdr:rowOff>
    </xdr:from>
    <xdr:ext cx="4167872" cy="6865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A972650A-48E2-4B24-AABB-46ABD87499EB}"/>
                </a:ext>
              </a:extLst>
            </xdr:cNvPr>
            <xdr:cNvSpPr txBox="1"/>
          </xdr:nvSpPr>
          <xdr:spPr>
            <a:xfrm>
              <a:off x="114300" y="8926830"/>
              <a:ext cx="4167872" cy="6865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num>
                      <m:den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a:rPr lang="es-MX" sz="20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s-MX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−</m:t>
                        </m:r>
                        <m:f>
                          <m:fPr>
                            <m:ctrlPr>
                              <a:rPr lang="es-MX" sz="20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d>
                              <m:dPr>
                                <m:begChr m:val="["/>
                                <m:endChr m:val="]"/>
                                <m:ctrlP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sub>
                                </m:sSub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  <m:t>− </m:t>
                                </m:r>
                                <m:sSub>
                                  <m:sSubPr>
                                    <m:ctrlP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d>
                          </m:num>
                          <m:den>
                            <m:d>
                              <m:dPr>
                                <m:begChr m:val="["/>
                                <m:endChr m:val="]"/>
                                <m:ctrlP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d>
                          </m:den>
                        </m:f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+1</m:t>
                        </m:r>
                      </m:e>
                    </m:d>
                    <m:r>
                      <a:rPr lang="es-MX" sz="20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𝐶𝑇𝑆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𝐶𝑇𝐿</m:t>
                    </m:r>
                  </m:oMath>
                </m:oMathPara>
              </a14:m>
              <a:endParaRPr lang="es-MX" sz="20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A972650A-48E2-4B24-AABB-46ABD87499EB}"/>
                </a:ext>
              </a:extLst>
            </xdr:cNvPr>
            <xdr:cNvSpPr txBox="1"/>
          </xdr:nvSpPr>
          <xdr:spPr>
            <a:xfrm>
              <a:off x="114300" y="8926830"/>
              <a:ext cx="4167872" cy="6865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000" i="0">
                  <a:latin typeface="Cambria Math" panose="02040503050406030204" pitchFamily="18" charset="0"/>
                </a:rPr>
                <a:t>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𝑉_𝑏)/(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𝑣_1 )</a:t>
              </a:r>
              <a:r>
                <a:rPr lang="es-MX" sz="2000" b="0" i="0">
                  <a:latin typeface="Cambria Math" panose="02040503050406030204" pitchFamily="18" charset="0"/>
                </a:rPr>
                <a:t>={−[ℎ_𝑥− ℎ_1 ]/[ℎ_2−ℎ_1 ] +1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r>
                <a:rPr lang="es-MX" sz="2000" b="0" i="0">
                  <a:latin typeface="Cambria Math" panose="02040503050406030204" pitchFamily="18" charset="0"/>
                </a:rPr>
                <a:t>∗𝐶𝑇𝑆∗𝐶𝑇𝐿</a:t>
              </a:r>
              <a:endParaRPr lang="es-MX" sz="2000"/>
            </a:p>
          </xdr:txBody>
        </xdr:sp>
      </mc:Fallback>
    </mc:AlternateContent>
    <xdr:clientData/>
  </xdr:oneCellAnchor>
  <xdr:oneCellAnchor>
    <xdr:from>
      <xdr:col>0</xdr:col>
      <xdr:colOff>167640</xdr:colOff>
      <xdr:row>53</xdr:row>
      <xdr:rowOff>64770</xdr:rowOff>
    </xdr:from>
    <xdr:ext cx="3487813" cy="6865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89B9E5E1-9F4E-4268-8E71-3689179C45FE}"/>
                </a:ext>
              </a:extLst>
            </xdr:cNvPr>
            <xdr:cNvSpPr txBox="1"/>
          </xdr:nvSpPr>
          <xdr:spPr>
            <a:xfrm>
              <a:off x="167640" y="9841230"/>
              <a:ext cx="3487813" cy="6865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num>
                      <m:den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𝑣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  <m:r>
                      <a:rPr lang="es-MX" sz="20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begChr m:val="{"/>
                        <m:endChr m:val="}"/>
                        <m:ctrlPr>
                          <a:rPr lang="es-MX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MX" sz="20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d>
                              <m:dPr>
                                <m:begChr m:val="["/>
                                <m:endChr m:val="]"/>
                                <m:ctrlP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sub>
                                </m:sSub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  <m:t>− </m:t>
                                </m:r>
                                <m:sSub>
                                  <m:sSubPr>
                                    <m:ctrlP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d>
                          </m:num>
                          <m:den>
                            <m:d>
                              <m:dPr>
                                <m:begChr m:val="["/>
                                <m:endChr m:val="]"/>
                                <m:ctrlP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  <m:r>
                                  <a:rPr lang="es-MX" sz="20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s-MX" sz="20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d>
                          </m:den>
                        </m:f>
                      </m:e>
                    </m:d>
                    <m:r>
                      <a:rPr lang="es-MX" sz="20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𝐶𝑇𝑆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𝐶𝑇𝐿</m:t>
                    </m:r>
                  </m:oMath>
                </m:oMathPara>
              </a14:m>
              <a:endParaRPr lang="es-MX" sz="200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89B9E5E1-9F4E-4268-8E71-3689179C45FE}"/>
                </a:ext>
              </a:extLst>
            </xdr:cNvPr>
            <xdr:cNvSpPr txBox="1"/>
          </xdr:nvSpPr>
          <xdr:spPr>
            <a:xfrm>
              <a:off x="167640" y="9841230"/>
              <a:ext cx="3487813" cy="6865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000" i="0">
                  <a:latin typeface="Cambria Math" panose="02040503050406030204" pitchFamily="18" charset="0"/>
                </a:rPr>
                <a:t>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𝑉_𝑏)/(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𝑣_2 )</a:t>
              </a:r>
              <a:r>
                <a:rPr lang="es-MX" sz="2000" b="0" i="0">
                  <a:latin typeface="Cambria Math" panose="02040503050406030204" pitchFamily="18" charset="0"/>
                </a:rPr>
                <a:t>={[ℎ_𝑥− ℎ_1 ]/[ℎ_2−ℎ_1 ] 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}</a:t>
              </a:r>
              <a:r>
                <a:rPr lang="es-MX" sz="2000" b="0" i="0">
                  <a:latin typeface="Cambria Math" panose="02040503050406030204" pitchFamily="18" charset="0"/>
                </a:rPr>
                <a:t>∗𝐶𝑇𝑆∗𝐶𝑇𝐿</a:t>
              </a:r>
              <a:endParaRPr lang="es-MX" sz="2000"/>
            </a:p>
          </xdr:txBody>
        </xdr:sp>
      </mc:Fallback>
    </mc:AlternateContent>
    <xdr:clientData/>
  </xdr:oneCellAnchor>
  <xdr:oneCellAnchor>
    <xdr:from>
      <xdr:col>0</xdr:col>
      <xdr:colOff>198120</xdr:colOff>
      <xdr:row>58</xdr:row>
      <xdr:rowOff>11430</xdr:rowOff>
    </xdr:from>
    <xdr:ext cx="3263522" cy="6376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3F82FD84-4F35-46CF-A7A3-E9456EAB7BF9}"/>
                </a:ext>
              </a:extLst>
            </xdr:cNvPr>
            <xdr:cNvSpPr txBox="1"/>
          </xdr:nvSpPr>
          <xdr:spPr>
            <a:xfrm>
              <a:off x="198120" y="10702290"/>
              <a:ext cx="3263522" cy="637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num>
                      <m:den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∝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𝐶</m:t>
                            </m:r>
                          </m:sub>
                        </m:sSub>
                      </m:den>
                    </m:f>
                    <m:r>
                      <a:rPr lang="es-MX" sz="20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s-MX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20</m:t>
                        </m:r>
                      </m:sub>
                    </m:sSub>
                    <m:r>
                      <a:rPr lang="es-MX" sz="2000" b="0" i="1">
                        <a:latin typeface="Cambria Math" panose="02040503050406030204" pitchFamily="18" charset="0"/>
                      </a:rPr>
                      <m:t>∗</m:t>
                    </m:r>
                    <m:d>
                      <m:dPr>
                        <m:ctrlPr>
                          <a:rPr lang="es-MX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MX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−20</m:t>
                        </m:r>
                      </m:e>
                    </m:d>
                    <m:r>
                      <a:rPr lang="es-MX" sz="20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𝐶𝑇𝐿</m:t>
                    </m:r>
                  </m:oMath>
                </m:oMathPara>
              </a14:m>
              <a:endParaRPr lang="es-MX" sz="20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3F82FD84-4F35-46CF-A7A3-E9456EAB7BF9}"/>
                </a:ext>
              </a:extLst>
            </xdr:cNvPr>
            <xdr:cNvSpPr txBox="1"/>
          </xdr:nvSpPr>
          <xdr:spPr>
            <a:xfrm>
              <a:off x="198120" y="10702290"/>
              <a:ext cx="3263522" cy="637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000" i="0">
                  <a:latin typeface="Cambria Math" panose="02040503050406030204" pitchFamily="18" charset="0"/>
                </a:rPr>
                <a:t>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𝑉_𝑏)/(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𝜕∝_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 )</a:t>
              </a:r>
              <a:r>
                <a:rPr lang="es-MX" sz="2000" b="0" i="0">
                  <a:latin typeface="Cambria Math" panose="02040503050406030204" pitchFamily="18" charset="0"/>
                </a:rPr>
                <a:t>= 𝑉_20∗(𝑡_𝑠−20)∗𝐶𝑇𝐿</a:t>
              </a:r>
              <a:endParaRPr lang="es-MX" sz="2000"/>
            </a:p>
          </xdr:txBody>
        </xdr:sp>
      </mc:Fallback>
    </mc:AlternateContent>
    <xdr:clientData/>
  </xdr:oneCellAnchor>
  <xdr:oneCellAnchor>
    <xdr:from>
      <xdr:col>0</xdr:col>
      <xdr:colOff>129540</xdr:colOff>
      <xdr:row>62</xdr:row>
      <xdr:rowOff>64770</xdr:rowOff>
    </xdr:from>
    <xdr:ext cx="2393604" cy="6371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DAA145DD-F53A-4808-8F65-8818BED1A42D}"/>
                </a:ext>
              </a:extLst>
            </xdr:cNvPr>
            <xdr:cNvSpPr txBox="1"/>
          </xdr:nvSpPr>
          <xdr:spPr>
            <a:xfrm>
              <a:off x="129540" y="11487150"/>
              <a:ext cx="2393604" cy="6371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num>
                      <m:den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</m:t>
                            </m:r>
                          </m:sub>
                        </m:sSub>
                      </m:den>
                    </m:f>
                    <m:r>
                      <a:rPr lang="es-MX" sz="20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s-MX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20</m:t>
                        </m:r>
                      </m:sub>
                    </m:sSub>
                    <m:r>
                      <a:rPr lang="es-MX" sz="2000" b="0" i="1">
                        <a:latin typeface="Cambria Math" panose="02040503050406030204" pitchFamily="18" charset="0"/>
                      </a:rPr>
                      <m:t>∗</m:t>
                    </m:r>
                    <m:sSub>
                      <m:sSubPr>
                        <m:ctrlPr>
                          <a:rPr lang="es-MX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es-MX" sz="20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𝐶𝑇𝐿</m:t>
                    </m:r>
                  </m:oMath>
                </m:oMathPara>
              </a14:m>
              <a:endParaRPr lang="es-MX" sz="2000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DAA145DD-F53A-4808-8F65-8818BED1A42D}"/>
                </a:ext>
              </a:extLst>
            </xdr:cNvPr>
            <xdr:cNvSpPr txBox="1"/>
          </xdr:nvSpPr>
          <xdr:spPr>
            <a:xfrm>
              <a:off x="129540" y="11487150"/>
              <a:ext cx="2393604" cy="6371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000" i="0">
                  <a:latin typeface="Cambria Math" panose="02040503050406030204" pitchFamily="18" charset="0"/>
                </a:rPr>
                <a:t>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𝑉_𝑏)/(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𝑡_𝑠 )</a:t>
              </a:r>
              <a:r>
                <a:rPr lang="es-MX" sz="2000" b="0" i="0">
                  <a:latin typeface="Cambria Math" panose="02040503050406030204" pitchFamily="18" charset="0"/>
                </a:rPr>
                <a:t>= 𝑉_20∗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𝛼_</a:t>
              </a:r>
              <a:r>
                <a:rPr lang="es-MX" sz="2000" b="0" i="0">
                  <a:latin typeface="Cambria Math" panose="02040503050406030204" pitchFamily="18" charset="0"/>
                </a:rPr>
                <a:t>𝑐∗𝐶𝑇𝐿</a:t>
              </a:r>
              <a:endParaRPr lang="es-MX" sz="2000"/>
            </a:p>
          </xdr:txBody>
        </xdr:sp>
      </mc:Fallback>
    </mc:AlternateContent>
    <xdr:clientData/>
  </xdr:oneCellAnchor>
  <xdr:oneCellAnchor>
    <xdr:from>
      <xdr:col>0</xdr:col>
      <xdr:colOff>152400</xdr:colOff>
      <xdr:row>66</xdr:row>
      <xdr:rowOff>87630</xdr:rowOff>
    </xdr:from>
    <xdr:ext cx="3239348" cy="6710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7B2CEB59-B03B-4C35-9BBA-997C5260216B}"/>
                </a:ext>
              </a:extLst>
            </xdr:cNvPr>
            <xdr:cNvSpPr txBox="1"/>
          </xdr:nvSpPr>
          <xdr:spPr>
            <a:xfrm>
              <a:off x="152400" y="12241530"/>
              <a:ext cx="3239348" cy="6710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num>
                      <m:den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𝑅𝐻𝑂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𝑡𝑝</m:t>
                            </m:r>
                          </m:sub>
                        </m:sSub>
                      </m:den>
                    </m:f>
                    <m:r>
                      <a:rPr lang="es-MX" sz="20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s-MX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20</m:t>
                        </m:r>
                      </m:sub>
                    </m:sSub>
                    <m:r>
                      <a:rPr lang="es-MX" sz="20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𝐶𝑇𝑆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MX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s-MX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</a:rPr>
                              <m:t>𝑅𝐻𝑂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MX" sz="20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7B2CEB59-B03B-4C35-9BBA-997C5260216B}"/>
                </a:ext>
              </a:extLst>
            </xdr:cNvPr>
            <xdr:cNvSpPr txBox="1"/>
          </xdr:nvSpPr>
          <xdr:spPr>
            <a:xfrm>
              <a:off x="152400" y="12241530"/>
              <a:ext cx="3239348" cy="6710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000" i="0">
                  <a:latin typeface="Cambria Math" panose="02040503050406030204" pitchFamily="18" charset="0"/>
                </a:rPr>
                <a:t>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𝑉_𝑏)/(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𝜕〖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𝑅𝐻𝑂〗_𝑡𝑝 )</a:t>
              </a:r>
              <a:r>
                <a:rPr lang="es-MX" sz="2000" b="0" i="0">
                  <a:latin typeface="Cambria Math" panose="02040503050406030204" pitchFamily="18" charset="0"/>
                </a:rPr>
                <a:t>= 𝑉_20∗𝐶𝑇𝑆∗1/〖𝑅𝐻𝑂〗_𝑏 </a:t>
              </a:r>
              <a:endParaRPr lang="es-MX" sz="2000"/>
            </a:p>
          </xdr:txBody>
        </xdr:sp>
      </mc:Fallback>
    </mc:AlternateContent>
    <xdr:clientData/>
  </xdr:oneCellAnchor>
  <xdr:oneCellAnchor>
    <xdr:from>
      <xdr:col>0</xdr:col>
      <xdr:colOff>114300</xdr:colOff>
      <xdr:row>70</xdr:row>
      <xdr:rowOff>72390</xdr:rowOff>
    </xdr:from>
    <xdr:ext cx="3783472" cy="6647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18B1229C-83A8-424A-9675-C0FC50DCC0B0}"/>
                </a:ext>
              </a:extLst>
            </xdr:cNvPr>
            <xdr:cNvSpPr txBox="1"/>
          </xdr:nvSpPr>
          <xdr:spPr>
            <a:xfrm>
              <a:off x="114300" y="12957810"/>
              <a:ext cx="3783472" cy="6647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num>
                      <m:den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𝑅𝐻𝑂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𝑏𝑎𝑠𝑒</m:t>
                            </m:r>
                          </m:sub>
                        </m:sSub>
                      </m:den>
                    </m:f>
                    <m:r>
                      <a:rPr lang="es-MX" sz="2000" b="0" i="1">
                        <a:latin typeface="Cambria Math" panose="02040503050406030204" pitchFamily="18" charset="0"/>
                      </a:rPr>
                      <m:t>= </m:t>
                    </m:r>
                    <m:sSub>
                      <m:sSubPr>
                        <m:ctrlPr>
                          <a:rPr lang="es-MX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s-MX" sz="2000" b="0" i="1">
                            <a:latin typeface="Cambria Math" panose="02040503050406030204" pitchFamily="18" charset="0"/>
                          </a:rPr>
                          <m:t>20</m:t>
                        </m:r>
                      </m:sub>
                    </m:sSub>
                    <m:r>
                      <a:rPr lang="es-MX" sz="20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𝐶𝑇𝑆</m:t>
                    </m:r>
                    <m:r>
                      <a:rPr lang="es-MX" sz="2000" b="0" i="1">
                        <a:latin typeface="Cambria Math" panose="02040503050406030204" pitchFamily="18" charset="0"/>
                      </a:rPr>
                      <m:t>∗−</m:t>
                    </m:r>
                    <m:f>
                      <m:fPr>
                        <m:ctrlPr>
                          <a:rPr lang="es-MX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</a:rPr>
                              <m:t>𝑅𝐻𝑂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</a:rPr>
                              <m:t>𝑡𝑝</m:t>
                            </m:r>
                          </m:sub>
                        </m:sSub>
                      </m:num>
                      <m:den>
                        <m:sSubSup>
                          <m:sSubSupPr>
                            <m:ctrlPr>
                              <a:rPr lang="es-MX" sz="20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</a:rPr>
                              <m:t>𝑅𝐻𝑂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sub>
                          <m:sup>
                            <m:r>
                              <a:rPr lang="es-MX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es-MX" sz="2000"/>
            </a:p>
          </xdr:txBody>
        </xdr:sp>
      </mc:Choice>
      <mc:Fallback xmlns=""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18B1229C-83A8-424A-9675-C0FC50DCC0B0}"/>
                </a:ext>
              </a:extLst>
            </xdr:cNvPr>
            <xdr:cNvSpPr txBox="1"/>
          </xdr:nvSpPr>
          <xdr:spPr>
            <a:xfrm>
              <a:off x="114300" y="12957810"/>
              <a:ext cx="3783472" cy="6647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2000" i="0">
                  <a:latin typeface="Cambria Math" panose="02040503050406030204" pitchFamily="18" charset="0"/>
                </a:rPr>
                <a:t>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𝑉_𝑏)/(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𝜕〖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𝑅𝐻𝑂〗_𝑏𝑎𝑠𝑒 )</a:t>
              </a:r>
              <a:r>
                <a:rPr lang="es-MX" sz="2000" b="0" i="0">
                  <a:latin typeface="Cambria Math" panose="02040503050406030204" pitchFamily="18" charset="0"/>
                </a:rPr>
                <a:t>= 𝑉_20∗𝐶𝑇𝑆∗−〖𝑅𝐻𝑂〗_𝑡𝑝/(〖𝑅𝐻𝑂〗_𝑏^2 )</a:t>
              </a:r>
              <a:endParaRPr lang="es-MX" sz="20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5</xdr:col>
      <xdr:colOff>746760</xdr:colOff>
      <xdr:row>10</xdr:row>
      <xdr:rowOff>111711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9AE048-A165-457B-8E15-772514D00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6316980" cy="1902411"/>
        </a:xfrm>
        <a:prstGeom prst="rect">
          <a:avLst/>
        </a:prstGeom>
      </xdr:spPr>
    </xdr:pic>
    <xdr:clientData/>
  </xdr:twoCellAnchor>
  <xdr:twoCellAnchor editAs="oneCell">
    <xdr:from>
      <xdr:col>3</xdr:col>
      <xdr:colOff>198120</xdr:colOff>
      <xdr:row>19</xdr:row>
      <xdr:rowOff>22860</xdr:rowOff>
    </xdr:from>
    <xdr:to>
      <xdr:col>4</xdr:col>
      <xdr:colOff>449730</xdr:colOff>
      <xdr:row>20</xdr:row>
      <xdr:rowOff>160048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594C13-D53A-4DA1-A742-53F14BF5C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7580" y="3497580"/>
          <a:ext cx="1729890" cy="320068"/>
        </a:xfrm>
        <a:prstGeom prst="rect">
          <a:avLst/>
        </a:prstGeom>
      </xdr:spPr>
    </xdr:pic>
    <xdr:clientData/>
  </xdr:twoCellAnchor>
  <xdr:twoCellAnchor editAs="oneCell">
    <xdr:from>
      <xdr:col>8</xdr:col>
      <xdr:colOff>109536</xdr:colOff>
      <xdr:row>45</xdr:row>
      <xdr:rowOff>128589</xdr:rowOff>
    </xdr:from>
    <xdr:to>
      <xdr:col>13</xdr:col>
      <xdr:colOff>327261</xdr:colOff>
      <xdr:row>54</xdr:row>
      <xdr:rowOff>84774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2430184-9FE5-4826-862E-AAE00CE2A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7196" y="8358189"/>
          <a:ext cx="5528865" cy="160210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8</xdr:col>
      <xdr:colOff>25138</xdr:colOff>
      <xdr:row>42</xdr:row>
      <xdr:rowOff>7619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5F82566-B0F0-47E4-A073-0FB2205A3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62700" y="6949440"/>
          <a:ext cx="1610098" cy="739139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32</xdr:row>
      <xdr:rowOff>152400</xdr:rowOff>
    </xdr:from>
    <xdr:to>
      <xdr:col>8</xdr:col>
      <xdr:colOff>49117</xdr:colOff>
      <xdr:row>37</xdr:row>
      <xdr:rowOff>106679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A832932-4A6B-4F27-8F5D-1ABB88BF4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38900" y="6004560"/>
          <a:ext cx="1557877" cy="8686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83820</xdr:rowOff>
    </xdr:from>
    <xdr:to>
      <xdr:col>3</xdr:col>
      <xdr:colOff>1440591</xdr:colOff>
      <xdr:row>46</xdr:row>
      <xdr:rowOff>160020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D25E97C-EDE3-44E0-89BA-D22263B361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24704" b="12948"/>
        <a:stretch/>
      </xdr:blipFill>
      <xdr:spPr>
        <a:xfrm>
          <a:off x="0" y="7764780"/>
          <a:ext cx="4740051" cy="807720"/>
        </a:xfrm>
        <a:prstGeom prst="rect">
          <a:avLst/>
        </a:prstGeom>
      </xdr:spPr>
    </xdr:pic>
    <xdr:clientData/>
  </xdr:twoCellAnchor>
  <xdr:twoCellAnchor editAs="oneCell">
    <xdr:from>
      <xdr:col>3</xdr:col>
      <xdr:colOff>1312545</xdr:colOff>
      <xdr:row>75</xdr:row>
      <xdr:rowOff>36195</xdr:rowOff>
    </xdr:from>
    <xdr:to>
      <xdr:col>5</xdr:col>
      <xdr:colOff>599662</xdr:colOff>
      <xdr:row>79</xdr:row>
      <xdr:rowOff>171449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0C92017-79E7-49BA-A85C-ACC6E16F9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12005" y="13752195"/>
          <a:ext cx="1557877" cy="866774"/>
        </a:xfrm>
        <a:prstGeom prst="rect">
          <a:avLst/>
        </a:prstGeom>
      </xdr:spPr>
    </xdr:pic>
    <xdr:clientData/>
  </xdr:twoCellAnchor>
  <xdr:twoCellAnchor editAs="oneCell">
    <xdr:from>
      <xdr:col>15</xdr:col>
      <xdr:colOff>213361</xdr:colOff>
      <xdr:row>90</xdr:row>
      <xdr:rowOff>42862</xdr:rowOff>
    </xdr:from>
    <xdr:to>
      <xdr:col>21</xdr:col>
      <xdr:colOff>358141</xdr:colOff>
      <xdr:row>96</xdr:row>
      <xdr:rowOff>137431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F527BDB-9503-439F-8D4D-7B068AEAFE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2672" b="-1"/>
        <a:stretch/>
      </xdr:blipFill>
      <xdr:spPr>
        <a:xfrm>
          <a:off x="15674341" y="16563022"/>
          <a:ext cx="4899660" cy="1397589"/>
        </a:xfrm>
        <a:prstGeom prst="rect">
          <a:avLst/>
        </a:prstGeom>
      </xdr:spPr>
    </xdr:pic>
    <xdr:clientData/>
  </xdr:twoCellAnchor>
  <xdr:twoCellAnchor editAs="oneCell">
    <xdr:from>
      <xdr:col>16</xdr:col>
      <xdr:colOff>59266</xdr:colOff>
      <xdr:row>115</xdr:row>
      <xdr:rowOff>8466</xdr:rowOff>
    </xdr:from>
    <xdr:to>
      <xdr:col>18</xdr:col>
      <xdr:colOff>200809</xdr:colOff>
      <xdr:row>116</xdr:row>
      <xdr:rowOff>145653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81037C7-8A56-4B07-AC26-9F86C9B0C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12726" y="21382566"/>
          <a:ext cx="1726503" cy="320067"/>
        </a:xfrm>
        <a:prstGeom prst="rect">
          <a:avLst/>
        </a:prstGeom>
      </xdr:spPr>
    </xdr:pic>
    <xdr:clientData/>
  </xdr:twoCellAnchor>
  <xdr:oneCellAnchor>
    <xdr:from>
      <xdr:col>15</xdr:col>
      <xdr:colOff>431800</xdr:colOff>
      <xdr:row>121</xdr:row>
      <xdr:rowOff>101600</xdr:rowOff>
    </xdr:from>
    <xdr:ext cx="5332037" cy="375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B7622E28-F751-4BF3-8E74-BF3FB31DAC3A}"/>
                </a:ext>
              </a:extLst>
            </xdr:cNvPr>
            <xdr:cNvSpPr txBox="1"/>
          </xdr:nvSpPr>
          <xdr:spPr>
            <a:xfrm>
              <a:off x="15892780" y="22595840"/>
              <a:ext cx="5332037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400" b="0"/>
                <a:t>DX-1</a:t>
              </a:r>
              <a14:m>
                <m:oMath xmlns:m="http://schemas.openxmlformats.org/officeDocument/2006/math">
                  <m:r>
                    <a:rPr lang="es-MX" sz="2400" b="0" i="1">
                      <a:latin typeface="Cambria Math" panose="02040503050406030204" pitchFamily="18" charset="0"/>
                    </a:rPr>
                    <m:t>=(−</m:t>
                  </m:r>
                  <m:sSub>
                    <m:sSub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s-MX" sz="2400" b="0" i="1">
                          <a:latin typeface="Cambria Math" panose="02040503050406030204" pitchFamily="18" charset="0"/>
                        </a:rPr>
                        <m:t>15</m:t>
                      </m:r>
                    </m:sub>
                  </m:sSub>
                  <m:r>
                    <a:rPr lang="es-MX" sz="2400" b="0" i="1">
                      <a:latin typeface="Cambria Math" panose="02040503050406030204" pitchFamily="18" charset="0"/>
                    </a:rPr>
                    <m:t>∗[1+0.8∗</m:t>
                  </m:r>
                  <m:sSub>
                    <m:sSub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s-MX" sz="2400" b="0" i="1">
                          <a:latin typeface="Cambria Math" panose="02040503050406030204" pitchFamily="18" charset="0"/>
                        </a:rPr>
                        <m:t>15</m:t>
                      </m:r>
                    </m:sub>
                  </m:sSub>
                  <m:r>
                    <a:rPr lang="es-MX" sz="2400" b="0" i="1">
                      <a:latin typeface="Cambria Math" panose="02040503050406030204" pitchFamily="18" charset="0"/>
                    </a:rPr>
                    <m:t>∗</m:t>
                  </m:r>
                  <m:d>
                    <m:d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2400" b="0" i="1">
                          <a:latin typeface="Cambria Math" panose="02040503050406030204" pitchFamily="18" charset="0"/>
                        </a:rPr>
                        <m:t>𝑡</m:t>
                      </m:r>
                      <m:r>
                        <a:rPr lang="es-MX" sz="2400" b="0" i="1">
                          <a:latin typeface="Cambria Math" panose="02040503050406030204" pitchFamily="18" charset="0"/>
                        </a:rPr>
                        <m:t>−15</m:t>
                      </m:r>
                    </m:e>
                  </m:d>
                  <m:r>
                    <a:rPr lang="es-MX" sz="2400" b="0" i="1">
                      <a:latin typeface="Cambria Math" panose="02040503050406030204" pitchFamily="18" charset="0"/>
                    </a:rPr>
                    <m:t>])</m:t>
                  </m:r>
                </m:oMath>
              </a14:m>
              <a:endParaRPr lang="es-MX" sz="24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B7622E28-F751-4BF3-8E74-BF3FB31DAC3A}"/>
                </a:ext>
              </a:extLst>
            </xdr:cNvPr>
            <xdr:cNvSpPr txBox="1"/>
          </xdr:nvSpPr>
          <xdr:spPr>
            <a:xfrm>
              <a:off x="15892780" y="22595840"/>
              <a:ext cx="5332037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400" b="0"/>
                <a:t>DX-1</a:t>
              </a:r>
              <a:r>
                <a:rPr lang="es-MX" sz="2400" b="0" i="0">
                  <a:latin typeface="Cambria Math" panose="02040503050406030204" pitchFamily="18" charset="0"/>
                </a:rPr>
                <a:t>=(−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15∗[1+0.8∗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15∗(𝑡−15)])</a:t>
              </a:r>
              <a:endParaRPr lang="es-MX" sz="2400"/>
            </a:p>
          </xdr:txBody>
        </xdr:sp>
      </mc:Fallback>
    </mc:AlternateContent>
    <xdr:clientData/>
  </xdr:oneCellAnchor>
  <xdr:oneCellAnchor>
    <xdr:from>
      <xdr:col>15</xdr:col>
      <xdr:colOff>462280</xdr:colOff>
      <xdr:row>124</xdr:row>
      <xdr:rowOff>151553</xdr:rowOff>
    </xdr:from>
    <xdr:ext cx="4577600" cy="375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BFCFE1B4-6D15-4E17-8EBF-BA2BDDEF8379}"/>
                </a:ext>
              </a:extLst>
            </xdr:cNvPr>
            <xdr:cNvSpPr txBox="1"/>
          </xdr:nvSpPr>
          <xdr:spPr>
            <a:xfrm>
              <a:off x="15923260" y="23202053"/>
              <a:ext cx="4577600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400" b="0"/>
                <a:t>DX-2</a:t>
              </a:r>
              <a14:m>
                <m:oMath xmlns:m="http://schemas.openxmlformats.org/officeDocument/2006/math">
                  <m:r>
                    <a:rPr lang="es-MX" sz="2400" b="0" i="1">
                      <a:latin typeface="Cambria Math" panose="02040503050406030204" pitchFamily="18" charset="0"/>
                    </a:rPr>
                    <m:t>=(−</m:t>
                  </m:r>
                  <m:sSub>
                    <m:sSub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s-MX" sz="2400" b="0" i="1">
                          <a:latin typeface="Cambria Math" panose="02040503050406030204" pitchFamily="18" charset="0"/>
                        </a:rPr>
                        <m:t>15</m:t>
                      </m:r>
                    </m:sub>
                  </m:sSub>
                  <m:r>
                    <a:rPr lang="es-MX" sz="2400" b="0" i="1">
                      <a:latin typeface="Cambria Math" panose="02040503050406030204" pitchFamily="18" charset="0"/>
                    </a:rPr>
                    <m:t>∗</m:t>
                  </m:r>
                  <m:d>
                    <m:dPr>
                      <m:begChr m:val="["/>
                      <m:endChr m:val="]"/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2400" b="0" i="1">
                          <a:latin typeface="Cambria Math" panose="02040503050406030204" pitchFamily="18" charset="0"/>
                        </a:rPr>
                        <m:t>𝑡</m:t>
                      </m:r>
                      <m:r>
                        <a:rPr lang="es-MX" sz="2400" b="0" i="1">
                          <a:latin typeface="Cambria Math" panose="02040503050406030204" pitchFamily="18" charset="0"/>
                        </a:rPr>
                        <m:t>−15</m:t>
                      </m:r>
                    </m:e>
                  </m:d>
                  <m:r>
                    <a:rPr lang="es-MX" sz="2400" b="0" i="1">
                      <a:latin typeface="Cambria Math" panose="02040503050406030204" pitchFamily="18" charset="0"/>
                    </a:rPr>
                    <m:t>∗0.8∗</m:t>
                  </m:r>
                  <m:sSub>
                    <m:sSubPr>
                      <m:ctrlPr>
                        <a:rPr lang="es-MX" sz="24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2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𝛽</m:t>
                      </m:r>
                    </m:e>
                    <m:sub>
                      <m:r>
                        <a:rPr lang="es-MX" sz="2400" b="0" i="1">
                          <a:latin typeface="Cambria Math" panose="02040503050406030204" pitchFamily="18" charset="0"/>
                        </a:rPr>
                        <m:t>15</m:t>
                      </m:r>
                    </m:sub>
                  </m:sSub>
                  <m:r>
                    <a:rPr lang="es-MX" sz="24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endParaRPr lang="es-MX" sz="24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BFCFE1B4-6D15-4E17-8EBF-BA2BDDEF8379}"/>
                </a:ext>
              </a:extLst>
            </xdr:cNvPr>
            <xdr:cNvSpPr txBox="1"/>
          </xdr:nvSpPr>
          <xdr:spPr>
            <a:xfrm>
              <a:off x="15923260" y="23202053"/>
              <a:ext cx="4577600" cy="3756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400" b="0"/>
                <a:t>DX-2</a:t>
              </a:r>
              <a:r>
                <a:rPr lang="es-MX" sz="2400" b="0" i="0">
                  <a:latin typeface="Cambria Math" panose="02040503050406030204" pitchFamily="18" charset="0"/>
                </a:rPr>
                <a:t>=(−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15∗[𝑡−15]∗0.8∗</a:t>
              </a:r>
              <a:r>
                <a:rPr lang="es-MX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2400" b="0" i="0">
                  <a:latin typeface="Cambria Math" panose="02040503050406030204" pitchFamily="18" charset="0"/>
                </a:rPr>
                <a:t>15)</a:t>
              </a:r>
              <a:endParaRPr lang="es-MX" sz="24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499110</xdr:colOff>
      <xdr:row>9</xdr:row>
      <xdr:rowOff>113030</xdr:rowOff>
    </xdr:from>
    <xdr:ext cx="3238500" cy="4000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37197775-47F6-C3BE-2A45-EE95366392B6}"/>
                </a:ext>
              </a:extLst>
            </xdr:cNvPr>
            <xdr:cNvSpPr txBox="1"/>
          </xdr:nvSpPr>
          <xdr:spPr>
            <a:xfrm>
              <a:off x="499110" y="1954530"/>
              <a:ext cx="3238500" cy="4000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MX" sz="2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2400" b="0" i="1">
                          <a:latin typeface="Cambria Math" panose="02040503050406030204" pitchFamily="18" charset="0"/>
                        </a:rPr>
                        <m:t>𝑉</m:t>
                      </m:r>
                    </m:e>
                    <m:sub>
                      <m:r>
                        <a:rPr lang="es-MX" sz="2400" b="0" i="1">
                          <a:latin typeface="Cambria Math" panose="02040503050406030204" pitchFamily="18" charset="0"/>
                        </a:rPr>
                        <m:t>𝑏</m:t>
                      </m:r>
                    </m:sub>
                  </m:sSub>
                </m:oMath>
              </a14:m>
              <a:r>
                <a:rPr lang="es-MX" sz="2400"/>
                <a:t> = IV</a:t>
              </a:r>
              <a:r>
                <a:rPr lang="es-MX" sz="2400" baseline="0"/>
                <a:t> * FC * CTL</a:t>
              </a:r>
            </a:p>
            <a:p>
              <a:r>
                <a:rPr lang="es-MX" sz="2400"/>
                <a:t> D</a:t>
              </a: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37197775-47F6-C3BE-2A45-EE95366392B6}"/>
                </a:ext>
              </a:extLst>
            </xdr:cNvPr>
            <xdr:cNvSpPr txBox="1"/>
          </xdr:nvSpPr>
          <xdr:spPr>
            <a:xfrm>
              <a:off x="499110" y="1954530"/>
              <a:ext cx="3238500" cy="4000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2400" b="0" i="0">
                  <a:latin typeface="Cambria Math" panose="02040503050406030204" pitchFamily="18" charset="0"/>
                </a:rPr>
                <a:t>𝑉_𝑏</a:t>
              </a:r>
              <a:r>
                <a:rPr lang="es-MX" sz="2400"/>
                <a:t> = IV</a:t>
              </a:r>
              <a:r>
                <a:rPr lang="es-MX" sz="2400" baseline="0"/>
                <a:t> * FC * CTL</a:t>
              </a:r>
            </a:p>
            <a:p>
              <a:r>
                <a:rPr lang="es-MX" sz="2400"/>
                <a:t> D</a:t>
              </a:r>
            </a:p>
          </xdr:txBody>
        </xdr:sp>
      </mc:Fallback>
    </mc:AlternateContent>
    <xdr:clientData/>
  </xdr:oneCellAnchor>
  <xdr:oneCellAnchor>
    <xdr:from>
      <xdr:col>0</xdr:col>
      <xdr:colOff>394970</xdr:colOff>
      <xdr:row>16</xdr:row>
      <xdr:rowOff>158750</xdr:rowOff>
    </xdr:from>
    <xdr:ext cx="3962400" cy="4000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26287AE-5FDF-4AB5-B7FE-109444DA29D9}"/>
                </a:ext>
              </a:extLst>
            </xdr:cNvPr>
            <xdr:cNvSpPr txBox="1"/>
          </xdr:nvSpPr>
          <xdr:spPr>
            <a:xfrm>
              <a:off x="394970" y="3289300"/>
              <a:ext cx="3962400" cy="4000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MX" sz="2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2400" b="0" i="1">
                          <a:latin typeface="Cambria Math" panose="02040503050406030204" pitchFamily="18" charset="0"/>
                        </a:rPr>
                        <m:t>𝑉</m:t>
                      </m:r>
                    </m:e>
                    <m:sub>
                      <m:r>
                        <a:rPr lang="es-MX" sz="2400" b="0" i="1">
                          <a:latin typeface="Cambria Math" panose="02040503050406030204" pitchFamily="18" charset="0"/>
                        </a:rPr>
                        <m:t>𝑏</m:t>
                      </m:r>
                    </m:sub>
                  </m:sSub>
                </m:oMath>
              </a14:m>
              <a:r>
                <a:rPr lang="es-MX" sz="2400"/>
                <a:t> = IV</a:t>
              </a:r>
              <a:r>
                <a:rPr lang="es-MX" sz="2400" baseline="0"/>
                <a:t> * FC * (1 - </a:t>
              </a:r>
              <a:r>
                <a:rPr lang="el-GR" sz="2400" baseline="0"/>
                <a:t>β</a:t>
              </a:r>
              <a:r>
                <a:rPr lang="es-MX" sz="2400" baseline="0"/>
                <a:t> * (t - 20))</a:t>
              </a:r>
            </a:p>
            <a:p>
              <a:r>
                <a:rPr lang="es-MX" sz="2400"/>
                <a:t> </a:t>
              </a: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26287AE-5FDF-4AB5-B7FE-109444DA29D9}"/>
                </a:ext>
              </a:extLst>
            </xdr:cNvPr>
            <xdr:cNvSpPr txBox="1"/>
          </xdr:nvSpPr>
          <xdr:spPr>
            <a:xfrm>
              <a:off x="394970" y="3289300"/>
              <a:ext cx="3962400" cy="4000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2400" b="0" i="0">
                  <a:latin typeface="Cambria Math" panose="02040503050406030204" pitchFamily="18" charset="0"/>
                </a:rPr>
                <a:t>𝑉_𝑏</a:t>
              </a:r>
              <a:r>
                <a:rPr lang="es-MX" sz="2400"/>
                <a:t> = IV</a:t>
              </a:r>
              <a:r>
                <a:rPr lang="es-MX" sz="2400" baseline="0"/>
                <a:t> * FC * (1 - </a:t>
              </a:r>
              <a:r>
                <a:rPr lang="el-GR" sz="2400" baseline="0"/>
                <a:t>β</a:t>
              </a:r>
              <a:r>
                <a:rPr lang="es-MX" sz="2400" baseline="0"/>
                <a:t> * (t - 20))</a:t>
              </a:r>
            </a:p>
            <a:p>
              <a:r>
                <a:rPr lang="es-MX" sz="2400"/>
                <a:t> </a:t>
              </a:r>
            </a:p>
          </xdr:txBody>
        </xdr:sp>
      </mc:Fallback>
    </mc:AlternateContent>
    <xdr:clientData/>
  </xdr:oneCellAnchor>
  <xdr:twoCellAnchor editAs="oneCell">
    <xdr:from>
      <xdr:col>15</xdr:col>
      <xdr:colOff>160020</xdr:colOff>
      <xdr:row>56</xdr:row>
      <xdr:rowOff>170180</xdr:rowOff>
    </xdr:from>
    <xdr:to>
      <xdr:col>20</xdr:col>
      <xdr:colOff>23192</xdr:colOff>
      <xdr:row>73</xdr:row>
      <xdr:rowOff>178119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3BFB73C-19FE-79E3-B573-30CF744DB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67220" y="10742930"/>
          <a:ext cx="3831922" cy="36845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365760</xdr:colOff>
      <xdr:row>0</xdr:row>
      <xdr:rowOff>114300</xdr:rowOff>
    </xdr:from>
    <xdr:ext cx="3962400" cy="4000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8917AC87-174E-416F-A12F-E2D3596492DF}"/>
                </a:ext>
              </a:extLst>
            </xdr:cNvPr>
            <xdr:cNvSpPr txBox="1"/>
          </xdr:nvSpPr>
          <xdr:spPr>
            <a:xfrm>
              <a:off x="365760" y="114300"/>
              <a:ext cx="3962400" cy="4000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MX" sz="24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MX" sz="2400" b="0" i="1">
                          <a:latin typeface="Cambria Math" panose="02040503050406030204" pitchFamily="18" charset="0"/>
                        </a:rPr>
                        <m:t>𝑉</m:t>
                      </m:r>
                    </m:e>
                    <m:sub>
                      <m:r>
                        <a:rPr lang="es-MX" sz="2400" b="0" i="1">
                          <a:latin typeface="Cambria Math" panose="02040503050406030204" pitchFamily="18" charset="0"/>
                        </a:rPr>
                        <m:t>𝑏</m:t>
                      </m:r>
                    </m:sub>
                  </m:sSub>
                </m:oMath>
              </a14:m>
              <a:r>
                <a:rPr lang="es-MX" sz="2400"/>
                <a:t> = IV</a:t>
              </a:r>
              <a:r>
                <a:rPr lang="es-MX" sz="2400" baseline="0"/>
                <a:t> * FC * (1 - </a:t>
              </a:r>
              <a:r>
                <a:rPr lang="el-GR" sz="2400" baseline="0"/>
                <a:t>β</a:t>
              </a:r>
              <a:r>
                <a:rPr lang="es-MX" sz="2400" baseline="0"/>
                <a:t> * (t - 20))</a:t>
              </a:r>
            </a:p>
            <a:p>
              <a:r>
                <a:rPr lang="es-MX" sz="2400"/>
                <a:t> </a:t>
              </a:r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8917AC87-174E-416F-A12F-E2D3596492DF}"/>
                </a:ext>
              </a:extLst>
            </xdr:cNvPr>
            <xdr:cNvSpPr txBox="1"/>
          </xdr:nvSpPr>
          <xdr:spPr>
            <a:xfrm>
              <a:off x="365760" y="114300"/>
              <a:ext cx="3962400" cy="4000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s-MX" sz="2400" b="0" i="0">
                  <a:latin typeface="Cambria Math" panose="02040503050406030204" pitchFamily="18" charset="0"/>
                </a:rPr>
                <a:t>𝑉_𝑏</a:t>
              </a:r>
              <a:r>
                <a:rPr lang="es-MX" sz="2400"/>
                <a:t> = IV</a:t>
              </a:r>
              <a:r>
                <a:rPr lang="es-MX" sz="2400" baseline="0"/>
                <a:t> * FC * (1 - </a:t>
              </a:r>
              <a:r>
                <a:rPr lang="el-GR" sz="2400" baseline="0"/>
                <a:t>β</a:t>
              </a:r>
              <a:r>
                <a:rPr lang="es-MX" sz="2400" baseline="0"/>
                <a:t> * (t - 20))</a:t>
              </a:r>
            </a:p>
            <a:p>
              <a:r>
                <a:rPr lang="es-MX" sz="2400"/>
                <a:t> </a:t>
              </a:r>
            </a:p>
          </xdr:txBody>
        </xdr:sp>
      </mc:Fallback>
    </mc:AlternateContent>
    <xdr:clientData/>
  </xdr:oneCellAnchor>
  <xdr:oneCellAnchor>
    <xdr:from>
      <xdr:col>0</xdr:col>
      <xdr:colOff>152400</xdr:colOff>
      <xdr:row>3</xdr:row>
      <xdr:rowOff>152400</xdr:rowOff>
    </xdr:from>
    <xdr:ext cx="2912529" cy="5852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06CE6FA-2305-44C4-9994-5B222852296D}"/>
                </a:ext>
              </a:extLst>
            </xdr:cNvPr>
            <xdr:cNvSpPr txBox="1"/>
          </xdr:nvSpPr>
          <xdr:spPr>
            <a:xfrm>
              <a:off x="152400" y="701040"/>
              <a:ext cx="2912529" cy="5852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num>
                      <m:den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r>
                          <a:rPr lang="es-MX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𝐼𝑉</m:t>
                        </m:r>
                      </m:den>
                    </m:f>
                    <m:r>
                      <a:rPr lang="es-MX" sz="20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FC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∗ (1 − </m:t>
                    </m:r>
                    <m:r>
                      <m:rPr>
                        <m:nor/>
                      </m:rPr>
                      <a:rPr lang="el-GR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β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∗ (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t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− 20))</m:t>
                    </m:r>
                  </m:oMath>
                </m:oMathPara>
              </a14:m>
              <a:endParaRPr lang="es-MX" sz="20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906CE6FA-2305-44C4-9994-5B222852296D}"/>
                </a:ext>
              </a:extLst>
            </xdr:cNvPr>
            <xdr:cNvSpPr txBox="1"/>
          </xdr:nvSpPr>
          <xdr:spPr>
            <a:xfrm>
              <a:off x="152400" y="701040"/>
              <a:ext cx="2912529" cy="5852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2000" i="0">
                  <a:latin typeface="Cambria Math" panose="02040503050406030204" pitchFamily="18" charset="0"/>
                </a:rPr>
                <a:t>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𝑉_𝑏)/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𝐼𝑉</a:t>
              </a:r>
              <a:r>
                <a:rPr lang="es-MX" sz="2000" b="0" i="0">
                  <a:latin typeface="Cambria Math" panose="02040503050406030204" pitchFamily="18" charset="0"/>
                </a:rPr>
                <a:t>=</a:t>
              </a:r>
              <a:r>
                <a:rPr lang="es-MX" sz="20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s-MX" sz="20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FC * (1 - </a:t>
              </a:r>
              <a:r>
                <a:rPr lang="el-GR" sz="20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β</a:t>
              </a:r>
              <a:r>
                <a:rPr lang="es-MX" sz="20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* (t - 20))</a:t>
              </a:r>
              <a:r>
                <a:rPr lang="es-MX" sz="200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s-MX" sz="2000"/>
            </a:p>
          </xdr:txBody>
        </xdr:sp>
      </mc:Fallback>
    </mc:AlternateContent>
    <xdr:clientData/>
  </xdr:oneCellAnchor>
  <xdr:oneCellAnchor>
    <xdr:from>
      <xdr:col>0</xdr:col>
      <xdr:colOff>175260</xdr:colOff>
      <xdr:row>8</xdr:row>
      <xdr:rowOff>30480</xdr:rowOff>
    </xdr:from>
    <xdr:ext cx="2923301" cy="5852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25852853-F417-4F9F-830F-C00EF69C1A94}"/>
                </a:ext>
              </a:extLst>
            </xdr:cNvPr>
            <xdr:cNvSpPr txBox="1"/>
          </xdr:nvSpPr>
          <xdr:spPr>
            <a:xfrm>
              <a:off x="175260" y="1493520"/>
              <a:ext cx="2923301" cy="5852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num>
                      <m:den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r>
                          <a:rPr lang="es-MX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𝐹𝐶</m:t>
                        </m:r>
                      </m:den>
                    </m:f>
                    <m:r>
                      <a:rPr lang="es-MX" sz="20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s-MX" sz="20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IV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∗ (1 − </m:t>
                    </m:r>
                    <m:r>
                      <m:rPr>
                        <m:nor/>
                      </m:rPr>
                      <a:rPr lang="el-GR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β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∗ (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t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− 20))</m:t>
                    </m:r>
                  </m:oMath>
                </m:oMathPara>
              </a14:m>
              <a:endParaRPr lang="es-MX" sz="20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25852853-F417-4F9F-830F-C00EF69C1A94}"/>
                </a:ext>
              </a:extLst>
            </xdr:cNvPr>
            <xdr:cNvSpPr txBox="1"/>
          </xdr:nvSpPr>
          <xdr:spPr>
            <a:xfrm>
              <a:off x="175260" y="1493520"/>
              <a:ext cx="2923301" cy="5852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2000" i="0">
                  <a:latin typeface="Cambria Math" panose="02040503050406030204" pitchFamily="18" charset="0"/>
                </a:rPr>
                <a:t>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𝑉_𝑏)/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𝐹𝐶</a:t>
              </a:r>
              <a:r>
                <a:rPr lang="es-MX" sz="2000" b="0" i="0">
                  <a:latin typeface="Cambria Math" panose="02040503050406030204" pitchFamily="18" charset="0"/>
                </a:rPr>
                <a:t>=</a:t>
              </a:r>
              <a:r>
                <a:rPr lang="es-MX" sz="20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s-MX" sz="20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MX" sz="20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IV</a:t>
              </a:r>
              <a:r>
                <a:rPr lang="es-MX" sz="20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* (1 - </a:t>
              </a:r>
              <a:r>
                <a:rPr lang="el-GR" sz="20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β</a:t>
              </a:r>
              <a:r>
                <a:rPr lang="es-MX" sz="20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* (t - 20))</a:t>
              </a:r>
              <a:r>
                <a:rPr lang="es-MX" sz="200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s-MX" sz="2000"/>
            </a:p>
          </xdr:txBody>
        </xdr:sp>
      </mc:Fallback>
    </mc:AlternateContent>
    <xdr:clientData/>
  </xdr:oneCellAnchor>
  <xdr:oneCellAnchor>
    <xdr:from>
      <xdr:col>0</xdr:col>
      <xdr:colOff>99060</xdr:colOff>
      <xdr:row>12</xdr:row>
      <xdr:rowOff>38100</xdr:rowOff>
    </xdr:from>
    <xdr:ext cx="2452146" cy="6370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2E470F88-8E1F-4140-9A47-68E28438E775}"/>
                </a:ext>
              </a:extLst>
            </xdr:cNvPr>
            <xdr:cNvSpPr txBox="1"/>
          </xdr:nvSpPr>
          <xdr:spPr>
            <a:xfrm>
              <a:off x="99060" y="2232660"/>
              <a:ext cx="2452146" cy="6370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num>
                      <m:den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𝜕𝛽</m:t>
                        </m:r>
                      </m:den>
                    </m:f>
                    <m:r>
                      <a:rPr lang="es-MX" sz="20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s-MX" sz="20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− </m:t>
                    </m:r>
                    <m:r>
                      <m:rPr>
                        <m:nor/>
                      </m:rPr>
                      <a:rPr lang="es-MX" sz="20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IV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∗</m:t>
                    </m:r>
                    <m:r>
                      <m:rPr>
                        <m:nor/>
                      </m:rPr>
                      <a:rPr lang="es-MX" sz="20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FC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 (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t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− 20)</m:t>
                    </m:r>
                  </m:oMath>
                </m:oMathPara>
              </a14:m>
              <a:endParaRPr lang="es-MX" sz="20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2E470F88-8E1F-4140-9A47-68E28438E775}"/>
                </a:ext>
              </a:extLst>
            </xdr:cNvPr>
            <xdr:cNvSpPr txBox="1"/>
          </xdr:nvSpPr>
          <xdr:spPr>
            <a:xfrm>
              <a:off x="99060" y="2232660"/>
              <a:ext cx="2452146" cy="6370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2000" i="0">
                  <a:latin typeface="Cambria Math" panose="02040503050406030204" pitchFamily="18" charset="0"/>
                </a:rPr>
                <a:t>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𝑉_𝑏)/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𝜕𝛽</a:t>
              </a:r>
              <a:r>
                <a:rPr lang="es-MX" sz="2000" b="0" i="0">
                  <a:latin typeface="Cambria Math" panose="02040503050406030204" pitchFamily="18" charset="0"/>
                </a:rPr>
                <a:t>=</a:t>
              </a:r>
              <a:r>
                <a:rPr lang="es-MX" sz="20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s-MX" sz="20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MX" sz="20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- IV</a:t>
              </a:r>
              <a:r>
                <a:rPr lang="es-MX" sz="20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*</a:t>
              </a:r>
              <a:r>
                <a:rPr lang="es-MX" sz="20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FC</a:t>
              </a:r>
              <a:r>
                <a:rPr lang="es-MX" sz="20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(t - 20)</a:t>
              </a:r>
              <a:r>
                <a:rPr lang="es-MX" sz="200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s-MX" sz="2000"/>
            </a:p>
          </xdr:txBody>
        </xdr:sp>
      </mc:Fallback>
    </mc:AlternateContent>
    <xdr:clientData/>
  </xdr:oneCellAnchor>
  <xdr:oneCellAnchor>
    <xdr:from>
      <xdr:col>0</xdr:col>
      <xdr:colOff>83820</xdr:colOff>
      <xdr:row>16</xdr:row>
      <xdr:rowOff>45720</xdr:rowOff>
    </xdr:from>
    <xdr:ext cx="2084801" cy="5852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937E3A74-A90C-4DA9-BE81-A791484F15D9}"/>
                </a:ext>
              </a:extLst>
            </xdr:cNvPr>
            <xdr:cNvSpPr txBox="1"/>
          </xdr:nvSpPr>
          <xdr:spPr>
            <a:xfrm>
              <a:off x="83820" y="2971800"/>
              <a:ext cx="2084801" cy="5852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MX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sSub>
                          <m:sSubPr>
                            <m:ctrlPr>
                              <a:rPr lang="es-MX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e>
                          <m:sub>
                            <m:r>
                              <a:rPr lang="es-MX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num>
                      <m:den>
                        <m:r>
                          <a:rPr lang="es-MX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𝜕</m:t>
                        </m:r>
                        <m:r>
                          <a:rPr lang="es-MX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den>
                    </m:f>
                    <m:r>
                      <a:rPr lang="es-MX" sz="20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es-MX" sz="20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m:rPr>
                        <m:nor/>
                      </m:rPr>
                      <a:rPr lang="es-MX" sz="20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IV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∗ </m:t>
                    </m:r>
                    <m:r>
                      <m:rPr>
                        <m:nor/>
                      </m:rPr>
                      <a:rPr lang="es-MX" sz="20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FC</m:t>
                    </m:r>
                    <m:r>
                      <m:rPr>
                        <m:nor/>
                      </m:rPr>
                      <a:rPr lang="es-MX" sz="2000" b="0" i="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∗  </m:t>
                    </m:r>
                    <m:r>
                      <m:rPr>
                        <m:nor/>
                      </m:rPr>
                      <a:rPr lang="el-GR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β</m:t>
                    </m:r>
                    <m:r>
                      <m:rPr>
                        <m:nor/>
                      </m:rPr>
                      <a:rPr lang="es-MX" sz="2000" baseline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MX" sz="20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937E3A74-A90C-4DA9-BE81-A791484F15D9}"/>
                </a:ext>
              </a:extLst>
            </xdr:cNvPr>
            <xdr:cNvSpPr txBox="1"/>
          </xdr:nvSpPr>
          <xdr:spPr>
            <a:xfrm>
              <a:off x="83820" y="2971800"/>
              <a:ext cx="2084801" cy="5852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2000" i="0">
                  <a:latin typeface="Cambria Math" panose="02040503050406030204" pitchFamily="18" charset="0"/>
                </a:rPr>
                <a:t>(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𝑉_𝑏)/</a:t>
              </a:r>
              <a:r>
                <a:rPr lang="es-MX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</a:t>
              </a:r>
              <a:r>
                <a:rPr lang="es-MX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r>
                <a:rPr lang="es-MX" sz="2000" b="0" i="0">
                  <a:latin typeface="Cambria Math" panose="02040503050406030204" pitchFamily="18" charset="0"/>
                </a:rPr>
                <a:t>="-</a:t>
              </a:r>
              <a:r>
                <a:rPr lang="es-MX" sz="20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MX" sz="20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IV</a:t>
              </a:r>
              <a:r>
                <a:rPr lang="es-MX" sz="20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* </a:t>
              </a:r>
              <a:r>
                <a:rPr lang="es-MX" sz="20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FC* </a:t>
              </a:r>
              <a:r>
                <a:rPr lang="es-MX" sz="20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l-GR" sz="20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β</a:t>
              </a:r>
              <a:r>
                <a:rPr lang="es-MX" sz="200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MX" sz="200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es-MX" sz="20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723901</xdr:colOff>
      <xdr:row>9</xdr:row>
      <xdr:rowOff>67481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ADD727-3981-B0E6-33C3-AF92308EC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893820" cy="1896281"/>
        </a:xfrm>
        <a:prstGeom prst="rect">
          <a:avLst/>
        </a:prstGeom>
      </xdr:spPr>
    </xdr:pic>
    <xdr:clientData/>
  </xdr:twoCellAnchor>
  <xdr:twoCellAnchor>
    <xdr:from>
      <xdr:col>12</xdr:col>
      <xdr:colOff>53340</xdr:colOff>
      <xdr:row>1</xdr:row>
      <xdr:rowOff>45720</xdr:rowOff>
    </xdr:from>
    <xdr:to>
      <xdr:col>13</xdr:col>
      <xdr:colOff>144780</xdr:colOff>
      <xdr:row>1</xdr:row>
      <xdr:rowOff>175260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199A7FA8-0757-ED8A-A0E9-CE451F85D97A}"/>
            </a:ext>
          </a:extLst>
        </xdr:cNvPr>
        <xdr:cNvSpPr/>
      </xdr:nvSpPr>
      <xdr:spPr>
        <a:xfrm>
          <a:off x="10256520" y="228600"/>
          <a:ext cx="883920" cy="1295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76200</xdr:colOff>
      <xdr:row>2</xdr:row>
      <xdr:rowOff>45720</xdr:rowOff>
    </xdr:from>
    <xdr:to>
      <xdr:col>13</xdr:col>
      <xdr:colOff>167640</xdr:colOff>
      <xdr:row>2</xdr:row>
      <xdr:rowOff>175260</xdr:rowOff>
    </xdr:to>
    <xdr:sp macro="" textlink="">
      <xdr:nvSpPr>
        <xdr:cNvPr id="4" name="Flecha: a la derecha 3">
          <a:extLst>
            <a:ext uri="{FF2B5EF4-FFF2-40B4-BE49-F238E27FC236}">
              <a16:creationId xmlns:a16="http://schemas.microsoft.com/office/drawing/2014/main" id="{3AE42B65-52A2-4899-97C6-435641610431}"/>
            </a:ext>
          </a:extLst>
        </xdr:cNvPr>
        <xdr:cNvSpPr/>
      </xdr:nvSpPr>
      <xdr:spPr>
        <a:xfrm>
          <a:off x="10279380" y="411480"/>
          <a:ext cx="883920" cy="1295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0</xdr:col>
      <xdr:colOff>0</xdr:colOff>
      <xdr:row>10</xdr:row>
      <xdr:rowOff>166652</xdr:rowOff>
    </xdr:from>
    <xdr:to>
      <xdr:col>4</xdr:col>
      <xdr:colOff>233781</xdr:colOff>
      <xdr:row>18</xdr:row>
      <xdr:rowOff>67810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CEDE54D-61D5-11A2-4717-68309CA7A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7950"/>
          <a:ext cx="3398117" cy="1570578"/>
        </a:xfrm>
        <a:prstGeom prst="rect">
          <a:avLst/>
        </a:prstGeom>
      </xdr:spPr>
    </xdr:pic>
    <xdr:clientData/>
  </xdr:twoCellAnchor>
  <xdr:twoCellAnchor editAs="oneCell">
    <xdr:from>
      <xdr:col>19</xdr:col>
      <xdr:colOff>213361</xdr:colOff>
      <xdr:row>0</xdr:row>
      <xdr:rowOff>0</xdr:rowOff>
    </xdr:from>
    <xdr:to>
      <xdr:col>23</xdr:col>
      <xdr:colOff>487681</xdr:colOff>
      <xdr:row>2</xdr:row>
      <xdr:rowOff>145935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B2D672-D163-467F-95CB-EC13A2989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63061" y="0"/>
          <a:ext cx="3444240" cy="511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EFAD-972D-4864-9D3C-9B412BFFCF6D}">
  <dimension ref="A1:G48"/>
  <sheetViews>
    <sheetView showGridLines="0" tabSelected="1" zoomScaleNormal="100" workbookViewId="0">
      <selection activeCell="B29" sqref="B29"/>
    </sheetView>
  </sheetViews>
  <sheetFormatPr baseColWidth="10" defaultColWidth="11.44140625" defaultRowHeight="13.8" x14ac:dyDescent="0.3"/>
  <cols>
    <col min="1" max="1" width="9.88671875" style="127" customWidth="1"/>
    <col min="2" max="2" width="13" style="127" customWidth="1"/>
    <col min="3" max="3" width="8.88671875" style="127" customWidth="1"/>
    <col min="4" max="4" width="23.33203125" style="127" customWidth="1"/>
    <col min="5" max="5" width="8.6640625" style="127" customWidth="1"/>
    <col min="6" max="6" width="14.33203125" style="127" customWidth="1"/>
    <col min="7" max="7" width="16.88671875" style="127" customWidth="1"/>
    <col min="8" max="16384" width="11.44140625" style="127"/>
  </cols>
  <sheetData>
    <row r="1" spans="1:7" x14ac:dyDescent="0.3">
      <c r="A1" s="378" t="s">
        <v>255</v>
      </c>
      <c r="B1" s="378"/>
      <c r="C1" s="149" t="s">
        <v>218</v>
      </c>
      <c r="D1" s="149"/>
      <c r="E1" s="149"/>
      <c r="F1" s="150" t="s">
        <v>219</v>
      </c>
      <c r="G1" s="151"/>
    </row>
    <row r="2" spans="1:7" x14ac:dyDescent="0.3">
      <c r="A2" s="378"/>
      <c r="B2" s="378"/>
      <c r="C2" s="149"/>
      <c r="D2" s="149"/>
      <c r="E2" s="149"/>
      <c r="F2" s="152" t="s">
        <v>220</v>
      </c>
      <c r="G2" s="153"/>
    </row>
    <row r="3" spans="1:7" x14ac:dyDescent="0.3">
      <c r="A3" s="378"/>
      <c r="B3" s="378"/>
      <c r="C3" s="149"/>
      <c r="D3" s="149"/>
      <c r="E3" s="149"/>
      <c r="F3" s="154" t="s">
        <v>221</v>
      </c>
      <c r="G3" s="155"/>
    </row>
    <row r="4" spans="1:7" x14ac:dyDescent="0.3">
      <c r="A4" s="378"/>
      <c r="B4" s="378"/>
      <c r="C4" s="372" t="s">
        <v>222</v>
      </c>
      <c r="D4" s="373"/>
      <c r="E4" s="373"/>
      <c r="F4" s="156" t="s">
        <v>223</v>
      </c>
      <c r="G4" s="157"/>
    </row>
    <row r="5" spans="1:7" x14ac:dyDescent="0.3">
      <c r="A5" s="378"/>
      <c r="B5" s="378"/>
      <c r="C5" s="374"/>
      <c r="D5" s="375"/>
      <c r="E5" s="375"/>
      <c r="F5" s="376">
        <v>45642</v>
      </c>
      <c r="G5" s="377"/>
    </row>
    <row r="10" spans="1:7" ht="21" x14ac:dyDescent="0.3">
      <c r="A10" s="144" t="s">
        <v>224</v>
      </c>
      <c r="B10" s="144"/>
      <c r="C10" s="144"/>
      <c r="D10" s="144"/>
      <c r="E10" s="144"/>
      <c r="F10" s="144"/>
      <c r="G10" s="144"/>
    </row>
    <row r="11" spans="1:7" ht="6" customHeight="1" x14ac:dyDescent="0.3">
      <c r="A11" s="145" t="s">
        <v>225</v>
      </c>
      <c r="B11" s="145"/>
      <c r="C11" s="145"/>
      <c r="D11" s="145"/>
      <c r="E11" s="145"/>
      <c r="F11" s="145"/>
      <c r="G11" s="145"/>
    </row>
    <row r="12" spans="1:7" x14ac:dyDescent="0.3">
      <c r="A12" s="146" t="s">
        <v>254</v>
      </c>
      <c r="B12" s="146"/>
      <c r="C12" s="146"/>
      <c r="D12" s="146"/>
      <c r="E12" s="146"/>
      <c r="F12" s="146"/>
      <c r="G12" s="146"/>
    </row>
    <row r="13" spans="1:7" ht="10.5" customHeight="1" x14ac:dyDescent="0.3">
      <c r="A13" s="128"/>
    </row>
    <row r="14" spans="1:7" ht="15.6" x14ac:dyDescent="0.3">
      <c r="A14" s="147" t="s">
        <v>226</v>
      </c>
      <c r="B14" s="147"/>
      <c r="C14" s="147"/>
      <c r="D14" s="147"/>
      <c r="E14" s="147"/>
      <c r="F14" s="147"/>
      <c r="G14" s="147"/>
    </row>
    <row r="17" spans="1:7" ht="26.25" customHeight="1" x14ac:dyDescent="0.3">
      <c r="A17" s="129"/>
      <c r="B17" s="148" t="s">
        <v>227</v>
      </c>
      <c r="C17" s="148"/>
      <c r="D17" s="148" t="s">
        <v>228</v>
      </c>
      <c r="E17" s="148"/>
      <c r="F17" s="130" t="s">
        <v>229</v>
      </c>
      <c r="G17" s="130" t="s">
        <v>230</v>
      </c>
    </row>
    <row r="18" spans="1:7" ht="34.200000000000003" customHeight="1" x14ac:dyDescent="0.3">
      <c r="A18" s="131" t="s">
        <v>231</v>
      </c>
      <c r="B18" s="379" t="s">
        <v>232</v>
      </c>
      <c r="C18" s="379"/>
      <c r="D18" s="380" t="s">
        <v>233</v>
      </c>
      <c r="E18" s="380"/>
      <c r="F18" s="381"/>
      <c r="G18" s="382">
        <v>45642</v>
      </c>
    </row>
    <row r="19" spans="1:7" ht="37.200000000000003" customHeight="1" x14ac:dyDescent="0.3">
      <c r="A19" s="131" t="s">
        <v>234</v>
      </c>
      <c r="B19" s="383" t="s">
        <v>235</v>
      </c>
      <c r="C19" s="383"/>
      <c r="D19" s="380" t="s">
        <v>236</v>
      </c>
      <c r="E19" s="380"/>
      <c r="F19" s="384"/>
      <c r="G19" s="382">
        <v>45642</v>
      </c>
    </row>
    <row r="20" spans="1:7" ht="44.4" customHeight="1" x14ac:dyDescent="0.3">
      <c r="A20" s="131" t="s">
        <v>237</v>
      </c>
      <c r="B20" s="383" t="s">
        <v>235</v>
      </c>
      <c r="C20" s="383"/>
      <c r="D20" s="380" t="s">
        <v>236</v>
      </c>
      <c r="E20" s="380"/>
      <c r="F20" s="384"/>
      <c r="G20" s="382">
        <v>45642</v>
      </c>
    </row>
    <row r="21" spans="1:7" ht="15" customHeight="1" x14ac:dyDescent="0.3">
      <c r="A21" s="136" t="s">
        <v>238</v>
      </c>
      <c r="B21" s="136"/>
      <c r="C21" s="136"/>
      <c r="D21" s="137" t="s">
        <v>239</v>
      </c>
      <c r="E21" s="138"/>
      <c r="F21" s="138"/>
      <c r="G21" s="139"/>
    </row>
    <row r="24" spans="1:7" ht="15.6" x14ac:dyDescent="0.3">
      <c r="A24" s="140" t="s">
        <v>240</v>
      </c>
      <c r="B24" s="140"/>
      <c r="C24" s="140"/>
      <c r="D24" s="140"/>
      <c r="E24" s="140"/>
      <c r="F24" s="140"/>
      <c r="G24" s="140"/>
    </row>
    <row r="26" spans="1:7" x14ac:dyDescent="0.3">
      <c r="A26" s="141" t="s">
        <v>241</v>
      </c>
      <c r="B26" s="142" t="s">
        <v>242</v>
      </c>
      <c r="C26" s="141" t="s">
        <v>243</v>
      </c>
      <c r="D26" s="141" t="s">
        <v>244</v>
      </c>
      <c r="E26" s="141" t="s">
        <v>245</v>
      </c>
      <c r="F26" s="141" t="s">
        <v>246</v>
      </c>
      <c r="G26" s="141" t="s">
        <v>247</v>
      </c>
    </row>
    <row r="27" spans="1:7" ht="24" customHeight="1" x14ac:dyDescent="0.3">
      <c r="A27" s="141"/>
      <c r="B27" s="143"/>
      <c r="C27" s="141"/>
      <c r="D27" s="141"/>
      <c r="E27" s="141"/>
      <c r="F27" s="141"/>
      <c r="G27" s="141"/>
    </row>
    <row r="28" spans="1:7" x14ac:dyDescent="0.3">
      <c r="A28" s="132" t="s">
        <v>248</v>
      </c>
      <c r="B28" s="382">
        <v>45642</v>
      </c>
      <c r="C28" s="132">
        <v>0</v>
      </c>
      <c r="D28" s="133" t="s">
        <v>249</v>
      </c>
      <c r="E28" s="385" t="s">
        <v>250</v>
      </c>
      <c r="F28" s="385" t="s">
        <v>251</v>
      </c>
      <c r="G28" s="385" t="s">
        <v>251</v>
      </c>
    </row>
    <row r="29" spans="1:7" x14ac:dyDescent="0.3">
      <c r="A29" s="132"/>
      <c r="B29" s="132"/>
      <c r="C29" s="132"/>
      <c r="D29" s="133"/>
      <c r="E29" s="132"/>
      <c r="F29" s="132"/>
      <c r="G29" s="132"/>
    </row>
    <row r="30" spans="1:7" x14ac:dyDescent="0.3">
      <c r="A30" s="132"/>
      <c r="B30" s="132"/>
      <c r="C30" s="132"/>
      <c r="D30" s="133"/>
      <c r="E30" s="132"/>
      <c r="F30" s="132"/>
      <c r="G30" s="132"/>
    </row>
    <row r="31" spans="1:7" x14ac:dyDescent="0.3">
      <c r="A31" s="132"/>
      <c r="B31" s="132"/>
      <c r="C31" s="132"/>
      <c r="D31" s="133"/>
      <c r="E31" s="132"/>
      <c r="F31" s="132"/>
      <c r="G31" s="132"/>
    </row>
    <row r="32" spans="1:7" x14ac:dyDescent="0.3">
      <c r="A32" s="132"/>
      <c r="B32" s="132"/>
      <c r="C32" s="132"/>
      <c r="D32" s="133"/>
      <c r="E32" s="132"/>
      <c r="F32" s="132"/>
      <c r="G32" s="132"/>
    </row>
    <row r="33" spans="1:7" x14ac:dyDescent="0.3">
      <c r="A33" s="132"/>
      <c r="B33" s="132"/>
      <c r="C33" s="132"/>
      <c r="D33" s="133"/>
      <c r="E33" s="132"/>
      <c r="F33" s="132"/>
      <c r="G33" s="132"/>
    </row>
    <row r="34" spans="1:7" x14ac:dyDescent="0.3">
      <c r="A34" s="132"/>
      <c r="B34" s="132"/>
      <c r="C34" s="132"/>
      <c r="D34" s="133"/>
      <c r="E34" s="132"/>
      <c r="F34" s="132"/>
      <c r="G34" s="132"/>
    </row>
    <row r="35" spans="1:7" x14ac:dyDescent="0.3">
      <c r="A35" s="132"/>
      <c r="B35" s="132"/>
      <c r="C35" s="132"/>
      <c r="D35" s="133"/>
      <c r="E35" s="132"/>
      <c r="F35" s="132"/>
      <c r="G35" s="132"/>
    </row>
    <row r="36" spans="1:7" x14ac:dyDescent="0.3">
      <c r="A36" s="132"/>
      <c r="B36" s="132"/>
      <c r="C36" s="132"/>
      <c r="D36" s="133"/>
      <c r="E36" s="132"/>
      <c r="F36" s="132"/>
      <c r="G36" s="132"/>
    </row>
    <row r="37" spans="1:7" x14ac:dyDescent="0.3">
      <c r="A37" s="132"/>
      <c r="B37" s="132"/>
      <c r="C37" s="132"/>
      <c r="D37" s="133"/>
      <c r="E37" s="132"/>
      <c r="F37" s="132"/>
      <c r="G37" s="132"/>
    </row>
    <row r="38" spans="1:7" x14ac:dyDescent="0.3">
      <c r="A38" s="132"/>
      <c r="B38" s="132"/>
      <c r="C38" s="132"/>
      <c r="D38" s="133"/>
      <c r="E38" s="132"/>
      <c r="F38" s="132"/>
      <c r="G38" s="132"/>
    </row>
    <row r="39" spans="1:7" x14ac:dyDescent="0.3">
      <c r="A39" s="132"/>
      <c r="B39" s="132"/>
      <c r="C39" s="132"/>
      <c r="D39" s="133"/>
      <c r="E39" s="132"/>
      <c r="F39" s="132"/>
      <c r="G39" s="132"/>
    </row>
    <row r="40" spans="1:7" x14ac:dyDescent="0.3">
      <c r="A40" s="132"/>
      <c r="B40" s="132"/>
      <c r="C40" s="132"/>
      <c r="D40" s="133"/>
      <c r="E40" s="132"/>
      <c r="F40" s="132"/>
      <c r="G40" s="132"/>
    </row>
    <row r="48" spans="1:7" x14ac:dyDescent="0.3">
      <c r="A48" s="134" t="s">
        <v>252</v>
      </c>
      <c r="B48" s="134"/>
      <c r="C48" s="134"/>
      <c r="D48" s="134"/>
      <c r="E48" s="134"/>
      <c r="F48" s="135" t="s">
        <v>253</v>
      </c>
      <c r="G48" s="135"/>
    </row>
  </sheetData>
  <sheetProtection selectLockedCells="1"/>
  <mergeCells count="32">
    <mergeCell ref="A1:B5"/>
    <mergeCell ref="C1:E3"/>
    <mergeCell ref="F1:G1"/>
    <mergeCell ref="F2:G2"/>
    <mergeCell ref="F3:G3"/>
    <mergeCell ref="C4:E5"/>
    <mergeCell ref="F4:G4"/>
    <mergeCell ref="F5:G5"/>
    <mergeCell ref="A10:G10"/>
    <mergeCell ref="A11:G11"/>
    <mergeCell ref="A12:G12"/>
    <mergeCell ref="A14:G14"/>
    <mergeCell ref="B17:C17"/>
    <mergeCell ref="D17:E17"/>
    <mergeCell ref="B18:C18"/>
    <mergeCell ref="D18:E18"/>
    <mergeCell ref="B19:C19"/>
    <mergeCell ref="D19:E19"/>
    <mergeCell ref="B20:C20"/>
    <mergeCell ref="D20:E20"/>
    <mergeCell ref="A48:E48"/>
    <mergeCell ref="F48:G48"/>
    <mergeCell ref="A21:C21"/>
    <mergeCell ref="D21:G21"/>
    <mergeCell ref="A24:G24"/>
    <mergeCell ref="A26:A27"/>
    <mergeCell ref="B26:B27"/>
    <mergeCell ref="C26:C27"/>
    <mergeCell ref="D26:D27"/>
    <mergeCell ref="E26:E27"/>
    <mergeCell ref="F26:F27"/>
    <mergeCell ref="G26:G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08F9-EE3D-4FFB-970D-C0CF7E0EB4A3}">
  <sheetPr>
    <tabColor theme="9" tint="-0.249977111117893"/>
  </sheetPr>
  <dimension ref="A12:Q147"/>
  <sheetViews>
    <sheetView zoomScale="170" zoomScaleNormal="170" workbookViewId="0">
      <selection activeCell="K126" sqref="K126:K127"/>
    </sheetView>
  </sheetViews>
  <sheetFormatPr baseColWidth="10" defaultRowHeight="14.4" x14ac:dyDescent="0.3"/>
  <cols>
    <col min="1" max="1" width="15.109375" customWidth="1"/>
    <col min="2" max="2" width="21.44140625" customWidth="1"/>
    <col min="4" max="4" width="21.5546875" customWidth="1"/>
    <col min="9" max="9" width="12.5546875" bestFit="1" customWidth="1"/>
    <col min="10" max="10" width="15.6640625" customWidth="1"/>
    <col min="11" max="11" width="19.33203125" customWidth="1"/>
    <col min="13" max="13" width="18.33203125" customWidth="1"/>
    <col min="14" max="14" width="20.5546875" bestFit="1" customWidth="1"/>
  </cols>
  <sheetData>
    <row r="12" spans="1:8" x14ac:dyDescent="0.3">
      <c r="A12" s="74"/>
    </row>
    <row r="13" spans="1:8" ht="14.4" customHeight="1" x14ac:dyDescent="0.3">
      <c r="A13" s="1" t="s">
        <v>0</v>
      </c>
      <c r="B13" s="1"/>
      <c r="C13" s="1"/>
      <c r="F13" s="299" t="s">
        <v>100</v>
      </c>
      <c r="G13" s="299"/>
      <c r="H13" s="299"/>
    </row>
    <row r="14" spans="1:8" x14ac:dyDescent="0.3">
      <c r="A14" s="16" t="s">
        <v>1</v>
      </c>
      <c r="B14" s="79"/>
      <c r="C14" s="1" t="s">
        <v>2</v>
      </c>
      <c r="D14" s="67" t="s">
        <v>21</v>
      </c>
      <c r="F14" s="299"/>
      <c r="G14" s="299"/>
      <c r="H14" s="299"/>
    </row>
    <row r="15" spans="1:8" ht="14.4" customHeight="1" x14ac:dyDescent="0.3">
      <c r="A15" s="16" t="s">
        <v>3</v>
      </c>
      <c r="B15" s="79"/>
      <c r="C15" s="1" t="s">
        <v>2</v>
      </c>
      <c r="D15" s="288" t="s">
        <v>186</v>
      </c>
      <c r="F15" s="299"/>
      <c r="G15" s="299"/>
      <c r="H15" s="299"/>
    </row>
    <row r="16" spans="1:8" x14ac:dyDescent="0.3">
      <c r="A16" s="16" t="s">
        <v>4</v>
      </c>
      <c r="B16" s="79"/>
      <c r="C16" s="1" t="s">
        <v>2</v>
      </c>
      <c r="D16" s="288"/>
      <c r="F16" s="299"/>
      <c r="G16" s="299"/>
      <c r="H16" s="299"/>
    </row>
    <row r="17" spans="1:8" x14ac:dyDescent="0.3">
      <c r="A17" s="16" t="s">
        <v>5</v>
      </c>
      <c r="B17" s="75"/>
      <c r="C17" s="1" t="s">
        <v>9</v>
      </c>
      <c r="D17" s="288"/>
      <c r="F17" s="299"/>
      <c r="G17" s="299"/>
      <c r="H17" s="299"/>
    </row>
    <row r="18" spans="1:8" x14ac:dyDescent="0.3">
      <c r="A18" s="16" t="s">
        <v>6</v>
      </c>
      <c r="B18" s="75"/>
      <c r="C18" s="1" t="s">
        <v>9</v>
      </c>
      <c r="D18" s="288"/>
      <c r="F18" s="299"/>
      <c r="G18" s="299"/>
      <c r="H18" s="299"/>
    </row>
    <row r="19" spans="1:8" ht="28.8" x14ac:dyDescent="0.3">
      <c r="A19" s="125" t="s">
        <v>213</v>
      </c>
      <c r="B19" s="78"/>
      <c r="C19" s="1" t="s">
        <v>8</v>
      </c>
      <c r="D19" s="2"/>
      <c r="F19" s="299"/>
      <c r="G19" s="299"/>
      <c r="H19" s="299"/>
    </row>
    <row r="20" spans="1:8" x14ac:dyDescent="0.3">
      <c r="A20" s="16" t="s">
        <v>11</v>
      </c>
      <c r="B20" s="126"/>
      <c r="C20" s="1" t="s">
        <v>14</v>
      </c>
      <c r="F20" s="299"/>
      <c r="G20" s="299"/>
      <c r="H20" s="299"/>
    </row>
    <row r="21" spans="1:8" x14ac:dyDescent="0.3">
      <c r="A21" s="16" t="s">
        <v>12</v>
      </c>
      <c r="B21" s="87"/>
      <c r="C21" s="1" t="s">
        <v>14</v>
      </c>
      <c r="F21" s="299"/>
      <c r="G21" s="299"/>
      <c r="H21" s="299"/>
    </row>
    <row r="22" spans="1:8" x14ac:dyDescent="0.3">
      <c r="A22" s="16" t="s">
        <v>13</v>
      </c>
      <c r="B22" s="87"/>
      <c r="C22" s="1" t="s">
        <v>14</v>
      </c>
      <c r="F22" s="299"/>
      <c r="G22" s="299"/>
      <c r="H22" s="299"/>
    </row>
    <row r="25" spans="1:8" x14ac:dyDescent="0.3">
      <c r="A25" s="16" t="s">
        <v>15</v>
      </c>
      <c r="B25" s="80"/>
      <c r="C25" s="1" t="s">
        <v>16</v>
      </c>
      <c r="D25" s="288" t="s">
        <v>203</v>
      </c>
      <c r="E25" s="288"/>
      <c r="F25" s="288"/>
    </row>
    <row r="26" spans="1:8" x14ac:dyDescent="0.3">
      <c r="A26" s="16" t="s">
        <v>17</v>
      </c>
      <c r="B26" s="119"/>
      <c r="C26" s="1" t="s">
        <v>14</v>
      </c>
      <c r="D26" s="288"/>
      <c r="E26" s="288"/>
      <c r="F26" s="288"/>
    </row>
    <row r="27" spans="1:8" x14ac:dyDescent="0.3">
      <c r="A27" s="16" t="s">
        <v>18</v>
      </c>
      <c r="B27" s="81"/>
      <c r="C27" s="1" t="s">
        <v>14</v>
      </c>
    </row>
    <row r="30" spans="1:8" x14ac:dyDescent="0.3">
      <c r="A30" s="18" t="s">
        <v>22</v>
      </c>
      <c r="B30" s="66" t="e">
        <f>(((B14-B15)/(B16-B15))*(B18-B17))+B17</f>
        <v>#DIV/0!</v>
      </c>
      <c r="C30" t="s">
        <v>9</v>
      </c>
    </row>
    <row r="31" spans="1:8" x14ac:dyDescent="0.3">
      <c r="A31" s="18" t="s">
        <v>23</v>
      </c>
      <c r="B31" s="66">
        <f>1+B19*(B20-20)</f>
        <v>1</v>
      </c>
    </row>
    <row r="32" spans="1:8" x14ac:dyDescent="0.3">
      <c r="A32" s="18" t="s">
        <v>24</v>
      </c>
      <c r="B32" s="66" t="e">
        <f>C75/C76</f>
        <v>#DIV/0!</v>
      </c>
    </row>
    <row r="50" spans="2:8" x14ac:dyDescent="0.3">
      <c r="B50" s="289" t="s">
        <v>25</v>
      </c>
      <c r="C50" s="289"/>
      <c r="G50" s="18" t="s">
        <v>184</v>
      </c>
      <c r="H50" s="66"/>
    </row>
    <row r="51" spans="2:8" x14ac:dyDescent="0.3">
      <c r="B51" s="82" t="s">
        <v>185</v>
      </c>
      <c r="C51" s="82">
        <v>1</v>
      </c>
      <c r="G51" s="18" t="s">
        <v>28</v>
      </c>
      <c r="H51" s="66"/>
    </row>
    <row r="52" spans="2:8" x14ac:dyDescent="0.3">
      <c r="B52" s="83" t="s">
        <v>26</v>
      </c>
      <c r="C52" s="66" t="e">
        <f>((H50/(B25^2))+(H51/B25))</f>
        <v>#DIV/0!</v>
      </c>
    </row>
    <row r="53" spans="2:8" x14ac:dyDescent="0.3">
      <c r="B53" s="83" t="s">
        <v>27</v>
      </c>
      <c r="C53" s="66" t="e">
        <f>B25/EXP(-C52*(B26-15)*(1+0.8*C52*(B26-15)))</f>
        <v>#DIV/0!</v>
      </c>
    </row>
    <row r="55" spans="2:8" x14ac:dyDescent="0.3">
      <c r="B55" s="82" t="s">
        <v>185</v>
      </c>
      <c r="C55" s="82">
        <v>2</v>
      </c>
    </row>
    <row r="56" spans="2:8" x14ac:dyDescent="0.3">
      <c r="B56" s="83" t="s">
        <v>26</v>
      </c>
      <c r="C56" s="66" t="e">
        <f>((H50/(C53^2))+(H51/C53))</f>
        <v>#DIV/0!</v>
      </c>
    </row>
    <row r="57" spans="2:8" x14ac:dyDescent="0.3">
      <c r="B57" s="83" t="s">
        <v>27</v>
      </c>
      <c r="C57" s="84" t="e">
        <f>B25/EXP(-C56*(B26-15)*(1+0.8*C56*(B26-15)))</f>
        <v>#DIV/0!</v>
      </c>
    </row>
    <row r="60" spans="2:8" x14ac:dyDescent="0.3">
      <c r="B60" s="82" t="s">
        <v>185</v>
      </c>
      <c r="C60" s="82">
        <v>3</v>
      </c>
    </row>
    <row r="61" spans="2:8" x14ac:dyDescent="0.3">
      <c r="B61" s="83" t="s">
        <v>26</v>
      </c>
      <c r="C61" s="66" t="e">
        <f>((H50/(C57^2))+(H51/C57))</f>
        <v>#DIV/0!</v>
      </c>
    </row>
    <row r="62" spans="2:8" x14ac:dyDescent="0.3">
      <c r="B62" s="83" t="s">
        <v>27</v>
      </c>
      <c r="C62" s="84" t="e">
        <f>B25/EXP(-C61*(B26-15)*(1+0.8*C61*(B26-15)))</f>
        <v>#DIV/0!</v>
      </c>
    </row>
    <row r="65" spans="2:11" x14ac:dyDescent="0.3">
      <c r="B65" s="82" t="s">
        <v>185</v>
      </c>
      <c r="C65" s="82">
        <v>4</v>
      </c>
    </row>
    <row r="66" spans="2:11" x14ac:dyDescent="0.3">
      <c r="B66" s="83" t="s">
        <v>26</v>
      </c>
      <c r="C66" s="66" t="e">
        <f>((H50/(C62^2))+(H51/C62))</f>
        <v>#DIV/0!</v>
      </c>
    </row>
    <row r="67" spans="2:11" x14ac:dyDescent="0.3">
      <c r="B67" s="83" t="s">
        <v>27</v>
      </c>
      <c r="C67" s="84" t="e">
        <f>B25/EXP(-C66*(B26-15)*(1+0.8*C66*(B26-15)))</f>
        <v>#DIV/0!</v>
      </c>
    </row>
    <row r="70" spans="2:11" x14ac:dyDescent="0.3">
      <c r="B70" s="82" t="s">
        <v>185</v>
      </c>
      <c r="C70" s="82">
        <v>5</v>
      </c>
      <c r="K70" s="8"/>
    </row>
    <row r="71" spans="2:11" x14ac:dyDescent="0.3">
      <c r="B71" s="83" t="s">
        <v>26</v>
      </c>
      <c r="C71" s="66" t="e">
        <f>((H50/(C67^2))+(H51/C67))</f>
        <v>#DIV/0!</v>
      </c>
    </row>
    <row r="72" spans="2:11" x14ac:dyDescent="0.3">
      <c r="B72" s="83" t="s">
        <v>27</v>
      </c>
      <c r="C72" s="84" t="e">
        <f>B25/EXP(-C71*(B26-15)*(1+0.8*C71*(B26-15)))</f>
        <v>#DIV/0!</v>
      </c>
    </row>
    <row r="73" spans="2:11" x14ac:dyDescent="0.3">
      <c r="B73" s="83" t="s">
        <v>123</v>
      </c>
      <c r="C73" s="66" t="e">
        <f>H50/C76^2+H51/C76</f>
        <v>#DIV/0!</v>
      </c>
      <c r="D73" t="s">
        <v>8</v>
      </c>
    </row>
    <row r="75" spans="2:11" x14ac:dyDescent="0.3">
      <c r="B75" s="82" t="s">
        <v>205</v>
      </c>
      <c r="C75" s="66" t="e">
        <f>C72*EXP(-C71*(B20-15)*(1+0.8*C71*(B20-15)))</f>
        <v>#DIV/0!</v>
      </c>
      <c r="D75" s="1" t="s">
        <v>16</v>
      </c>
      <c r="E75" t="s">
        <v>29</v>
      </c>
    </row>
    <row r="76" spans="2:11" x14ac:dyDescent="0.3">
      <c r="B76" s="82" t="s">
        <v>19</v>
      </c>
      <c r="C76" s="66" t="e">
        <f>C72*EXP(-C71*(20-15)*(1+0.8*C71*(20-15)))</f>
        <v>#DIV/0!</v>
      </c>
      <c r="D76" s="1" t="s">
        <v>16</v>
      </c>
    </row>
    <row r="78" spans="2:11" x14ac:dyDescent="0.3">
      <c r="B78" s="82" t="s">
        <v>24</v>
      </c>
      <c r="C78" s="66" t="e">
        <f>C75/C76</f>
        <v>#DIV/0!</v>
      </c>
    </row>
    <row r="82" spans="1:15" x14ac:dyDescent="0.3">
      <c r="B82" s="290" t="s">
        <v>31</v>
      </c>
      <c r="C82" s="291"/>
      <c r="D82" s="292"/>
    </row>
    <row r="83" spans="1:15" x14ac:dyDescent="0.3">
      <c r="B83" s="82" t="s">
        <v>20</v>
      </c>
      <c r="C83" s="66" t="e">
        <f>B30*B31*C78</f>
        <v>#DIV/0!</v>
      </c>
      <c r="D83" t="s">
        <v>9</v>
      </c>
      <c r="E83" t="s">
        <v>30</v>
      </c>
    </row>
    <row r="85" spans="1:15" ht="14.4" customHeight="1" x14ac:dyDescent="0.3">
      <c r="A85" s="298" t="s">
        <v>32</v>
      </c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8"/>
    </row>
    <row r="86" spans="1:15" ht="14.4" customHeight="1" x14ac:dyDescent="0.3">
      <c r="A86" s="298"/>
      <c r="B86" s="298"/>
      <c r="C86" s="298"/>
      <c r="D86" s="298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</row>
    <row r="87" spans="1:15" ht="14.4" customHeight="1" x14ac:dyDescent="0.3">
      <c r="A87" s="298"/>
      <c r="B87" s="298"/>
      <c r="C87" s="298"/>
      <c r="D87" s="298"/>
      <c r="E87" s="298"/>
      <c r="F87" s="298"/>
      <c r="G87" s="298"/>
      <c r="H87" s="298"/>
      <c r="I87" s="298"/>
      <c r="J87" s="298"/>
      <c r="K87" s="298"/>
      <c r="L87" s="298"/>
      <c r="M87" s="298"/>
      <c r="N87" s="298"/>
      <c r="O87" s="298"/>
    </row>
    <row r="88" spans="1:15" ht="14.4" customHeight="1" x14ac:dyDescent="0.3">
      <c r="A88" s="298"/>
      <c r="B88" s="298"/>
      <c r="C88" s="298"/>
      <c r="D88" s="298"/>
      <c r="E88" s="298"/>
      <c r="F88" s="298"/>
      <c r="G88" s="298"/>
      <c r="H88" s="298"/>
      <c r="I88" s="298"/>
      <c r="J88" s="298"/>
      <c r="K88" s="298"/>
      <c r="L88" s="298"/>
      <c r="M88" s="298"/>
      <c r="N88" s="298"/>
      <c r="O88" s="298"/>
    </row>
    <row r="89" spans="1:15" ht="18.600000000000001" thickBot="1" x14ac:dyDescent="0.4">
      <c r="A89" s="260" t="s">
        <v>45</v>
      </c>
      <c r="B89" s="260"/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</row>
    <row r="90" spans="1:15" ht="15" thickBot="1" x14ac:dyDescent="0.35">
      <c r="A90" s="5"/>
      <c r="B90" s="5"/>
      <c r="C90" s="5"/>
      <c r="D90" s="5"/>
      <c r="E90" s="5"/>
      <c r="F90" s="5"/>
      <c r="G90" s="5"/>
      <c r="H90" s="5"/>
      <c r="I90" s="261" t="s">
        <v>46</v>
      </c>
      <c r="J90" s="262"/>
      <c r="K90" s="5"/>
      <c r="L90" s="5"/>
      <c r="M90" s="5"/>
      <c r="N90" s="5"/>
      <c r="O90" s="5"/>
    </row>
    <row r="91" spans="1:15" ht="29.4" thickBot="1" x14ac:dyDescent="0.35">
      <c r="A91" s="3" t="s">
        <v>33</v>
      </c>
      <c r="B91" s="295" t="s">
        <v>34</v>
      </c>
      <c r="C91" s="296"/>
      <c r="D91" s="297"/>
      <c r="E91" s="3" t="s">
        <v>35</v>
      </c>
      <c r="F91" s="3" t="s">
        <v>36</v>
      </c>
      <c r="G91" s="295" t="s">
        <v>37</v>
      </c>
      <c r="H91" s="297"/>
      <c r="I91" s="3" t="s">
        <v>38</v>
      </c>
      <c r="J91" s="3" t="s">
        <v>39</v>
      </c>
      <c r="K91" s="3" t="s">
        <v>40</v>
      </c>
      <c r="L91" s="3" t="s">
        <v>41</v>
      </c>
      <c r="M91" s="3" t="s">
        <v>42</v>
      </c>
      <c r="N91" s="3" t="s">
        <v>43</v>
      </c>
      <c r="O91" s="4" t="s">
        <v>44</v>
      </c>
    </row>
    <row r="92" spans="1:15" x14ac:dyDescent="0.3">
      <c r="A92" s="184">
        <v>1</v>
      </c>
      <c r="B92" s="196" t="s">
        <v>187</v>
      </c>
      <c r="C92" s="186"/>
      <c r="D92" s="197"/>
      <c r="E92" s="182">
        <f>B14</f>
        <v>0</v>
      </c>
      <c r="F92" s="184" t="s">
        <v>2</v>
      </c>
      <c r="G92" s="238" t="s">
        <v>188</v>
      </c>
      <c r="H92" s="240"/>
      <c r="I92" s="263" t="s">
        <v>50</v>
      </c>
      <c r="J92" s="264"/>
      <c r="K92" s="188">
        <f>SQRT(N94+N96+N98)</f>
        <v>9.8952850725315977E-4</v>
      </c>
      <c r="L92" s="200" t="e">
        <f>((1/(B16-B15))*(B18-B17))*C78*B31</f>
        <v>#DIV/0!</v>
      </c>
      <c r="M92" s="293" t="e">
        <f>K92*L92</f>
        <v>#DIV/0!</v>
      </c>
      <c r="N92" s="202" t="e">
        <f>M92^2</f>
        <v>#DIV/0!</v>
      </c>
      <c r="O92" s="190" t="e">
        <f>N92/$N$144</f>
        <v>#DIV/0!</v>
      </c>
    </row>
    <row r="93" spans="1:15" ht="15" thickBot="1" x14ac:dyDescent="0.35">
      <c r="A93" s="185"/>
      <c r="B93" s="198"/>
      <c r="C93" s="187"/>
      <c r="D93" s="199"/>
      <c r="E93" s="183"/>
      <c r="F93" s="185"/>
      <c r="G93" s="241"/>
      <c r="H93" s="243"/>
      <c r="I93" s="265"/>
      <c r="J93" s="266"/>
      <c r="K93" s="189"/>
      <c r="L93" s="201"/>
      <c r="M93" s="294"/>
      <c r="N93" s="203"/>
      <c r="O93" s="191"/>
    </row>
    <row r="94" spans="1:15" ht="14.4" customHeight="1" x14ac:dyDescent="0.3">
      <c r="A94" s="277">
        <v>1.1000000000000001</v>
      </c>
      <c r="B94" s="279" t="s">
        <v>189</v>
      </c>
      <c r="C94" s="275"/>
      <c r="D94" s="264"/>
      <c r="E94" s="277"/>
      <c r="F94" s="277" t="s">
        <v>2</v>
      </c>
      <c r="G94" s="279" t="s">
        <v>204</v>
      </c>
      <c r="H94" s="264"/>
      <c r="I94" s="280">
        <v>1.5E-3</v>
      </c>
      <c r="J94" s="275" t="s">
        <v>53</v>
      </c>
      <c r="K94" s="277">
        <f>I94/2</f>
        <v>7.5000000000000002E-4</v>
      </c>
      <c r="L94" s="277">
        <v>1</v>
      </c>
      <c r="M94" s="275">
        <f>L94*K94</f>
        <v>7.5000000000000002E-4</v>
      </c>
      <c r="N94" s="277">
        <f>M94^2</f>
        <v>5.6250000000000001E-7</v>
      </c>
      <c r="O94" s="277"/>
    </row>
    <row r="95" spans="1:15" ht="15" thickBot="1" x14ac:dyDescent="0.35">
      <c r="A95" s="278"/>
      <c r="B95" s="265"/>
      <c r="C95" s="276"/>
      <c r="D95" s="266"/>
      <c r="E95" s="278"/>
      <c r="F95" s="278"/>
      <c r="G95" s="265"/>
      <c r="H95" s="266"/>
      <c r="I95" s="281"/>
      <c r="J95" s="276"/>
      <c r="K95" s="278"/>
      <c r="L95" s="278"/>
      <c r="M95" s="276"/>
      <c r="N95" s="278"/>
      <c r="O95" s="278"/>
    </row>
    <row r="96" spans="1:15" x14ac:dyDescent="0.3">
      <c r="A96" s="277">
        <v>1.2</v>
      </c>
      <c r="B96" s="279" t="s">
        <v>48</v>
      </c>
      <c r="C96" s="275"/>
      <c r="D96" s="264"/>
      <c r="E96" s="277"/>
      <c r="F96" s="277" t="s">
        <v>2</v>
      </c>
      <c r="G96" s="279" t="s">
        <v>51</v>
      </c>
      <c r="H96" s="264"/>
      <c r="I96" s="280">
        <v>1E-3</v>
      </c>
      <c r="J96" s="275" t="s">
        <v>137</v>
      </c>
      <c r="K96" s="282">
        <f>I96/SQRT(12)</f>
        <v>2.886751345948129E-4</v>
      </c>
      <c r="L96" s="277">
        <v>1</v>
      </c>
      <c r="M96" s="284">
        <f>L96*K96</f>
        <v>2.886751345948129E-4</v>
      </c>
      <c r="N96" s="286">
        <f>M96^2</f>
        <v>8.3333333333333338E-8</v>
      </c>
      <c r="O96" s="277"/>
    </row>
    <row r="97" spans="1:15" ht="15" thickBot="1" x14ac:dyDescent="0.35">
      <c r="A97" s="278"/>
      <c r="B97" s="265"/>
      <c r="C97" s="276"/>
      <c r="D97" s="266"/>
      <c r="E97" s="278"/>
      <c r="F97" s="278"/>
      <c r="G97" s="265"/>
      <c r="H97" s="266"/>
      <c r="I97" s="281"/>
      <c r="J97" s="276"/>
      <c r="K97" s="283"/>
      <c r="L97" s="278"/>
      <c r="M97" s="285"/>
      <c r="N97" s="287"/>
      <c r="O97" s="278"/>
    </row>
    <row r="98" spans="1:15" x14ac:dyDescent="0.3">
      <c r="A98" s="277">
        <v>1.3</v>
      </c>
      <c r="B98" s="279" t="s">
        <v>49</v>
      </c>
      <c r="C98" s="275"/>
      <c r="D98" s="264"/>
      <c r="E98" s="277"/>
      <c r="F98" s="277" t="s">
        <v>2</v>
      </c>
      <c r="G98" s="279" t="s">
        <v>52</v>
      </c>
      <c r="H98" s="264"/>
      <c r="I98" s="280">
        <v>2E-3</v>
      </c>
      <c r="J98" s="275" t="s">
        <v>137</v>
      </c>
      <c r="K98" s="277">
        <f>I98/SQRT(12)</f>
        <v>5.773502691896258E-4</v>
      </c>
      <c r="L98" s="277">
        <v>1</v>
      </c>
      <c r="M98" s="275">
        <f t="shared" ref="M98" si="0">L98*K98</f>
        <v>5.773502691896258E-4</v>
      </c>
      <c r="N98" s="277">
        <f t="shared" ref="N98" si="1">M98^2</f>
        <v>3.3333333333333335E-7</v>
      </c>
      <c r="O98" s="277"/>
    </row>
    <row r="99" spans="1:15" ht="15" thickBot="1" x14ac:dyDescent="0.35">
      <c r="A99" s="278"/>
      <c r="B99" s="265"/>
      <c r="C99" s="276"/>
      <c r="D99" s="266"/>
      <c r="E99" s="278"/>
      <c r="F99" s="278"/>
      <c r="G99" s="265"/>
      <c r="H99" s="266"/>
      <c r="I99" s="281"/>
      <c r="J99" s="276"/>
      <c r="K99" s="278"/>
      <c r="L99" s="278"/>
      <c r="M99" s="276"/>
      <c r="N99" s="278"/>
      <c r="O99" s="278"/>
    </row>
    <row r="100" spans="1:15" x14ac:dyDescent="0.3">
      <c r="A100" s="184">
        <v>2</v>
      </c>
      <c r="B100" s="196" t="s">
        <v>190</v>
      </c>
      <c r="C100" s="186"/>
      <c r="D100" s="197"/>
      <c r="E100" s="269">
        <f>B15</f>
        <v>0</v>
      </c>
      <c r="F100" s="184" t="s">
        <v>2</v>
      </c>
      <c r="G100" s="244" t="s">
        <v>201</v>
      </c>
      <c r="H100" s="245"/>
      <c r="I100" s="254"/>
      <c r="J100" s="186" t="s">
        <v>53</v>
      </c>
      <c r="K100" s="184">
        <f>I100/2</f>
        <v>0</v>
      </c>
      <c r="L100" s="200" t="e">
        <f>(((-1/(E102-E100))*(E106-E104))+(((E92-E100)/(E102-E100)^2)*(E106-E104)))*B31*B32</f>
        <v>#DIV/0!</v>
      </c>
      <c r="M100" s="270" t="e">
        <f>L100*K100</f>
        <v>#DIV/0!</v>
      </c>
      <c r="N100" s="234" t="e">
        <f>M100^2</f>
        <v>#DIV/0!</v>
      </c>
      <c r="O100" s="267" t="e">
        <f>N100/$N$144</f>
        <v>#DIV/0!</v>
      </c>
    </row>
    <row r="101" spans="1:15" ht="15" thickBot="1" x14ac:dyDescent="0.35">
      <c r="A101" s="185"/>
      <c r="B101" s="198"/>
      <c r="C101" s="187"/>
      <c r="D101" s="199"/>
      <c r="E101" s="272"/>
      <c r="F101" s="185"/>
      <c r="G101" s="246"/>
      <c r="H101" s="247"/>
      <c r="I101" s="255"/>
      <c r="J101" s="187"/>
      <c r="K101" s="185"/>
      <c r="L101" s="201"/>
      <c r="M101" s="271"/>
      <c r="N101" s="235"/>
      <c r="O101" s="268"/>
    </row>
    <row r="102" spans="1:15" ht="14.4" customHeight="1" x14ac:dyDescent="0.3">
      <c r="A102" s="184">
        <v>3</v>
      </c>
      <c r="B102" s="196" t="s">
        <v>54</v>
      </c>
      <c r="C102" s="186"/>
      <c r="D102" s="197"/>
      <c r="E102" s="269">
        <f>B16</f>
        <v>0</v>
      </c>
      <c r="F102" s="184" t="s">
        <v>2</v>
      </c>
      <c r="G102" s="244" t="s">
        <v>201</v>
      </c>
      <c r="H102" s="245"/>
      <c r="I102" s="254"/>
      <c r="J102" s="186" t="s">
        <v>53</v>
      </c>
      <c r="K102" s="184">
        <f>I102/2</f>
        <v>0</v>
      </c>
      <c r="L102" s="269" t="e">
        <f>(-((E92-E100)/(E102-E100)^2*(E106-E104))*B31*B32)</f>
        <v>#DIV/0!</v>
      </c>
      <c r="M102" s="273" t="e">
        <f>L102*K102</f>
        <v>#DIV/0!</v>
      </c>
      <c r="N102" s="234" t="e">
        <f>M102^2</f>
        <v>#DIV/0!</v>
      </c>
      <c r="O102" s="267" t="e">
        <f t="shared" ref="O102" si="2">N102/$N$144</f>
        <v>#DIV/0!</v>
      </c>
    </row>
    <row r="103" spans="1:15" ht="15" thickBot="1" x14ac:dyDescent="0.35">
      <c r="A103" s="185"/>
      <c r="B103" s="198"/>
      <c r="C103" s="187"/>
      <c r="D103" s="199"/>
      <c r="E103" s="185"/>
      <c r="F103" s="185"/>
      <c r="G103" s="246"/>
      <c r="H103" s="247"/>
      <c r="I103" s="255"/>
      <c r="J103" s="187"/>
      <c r="K103" s="185"/>
      <c r="L103" s="272"/>
      <c r="M103" s="274"/>
      <c r="N103" s="235"/>
      <c r="O103" s="268"/>
    </row>
    <row r="104" spans="1:15" x14ac:dyDescent="0.3">
      <c r="A104" s="184">
        <v>4</v>
      </c>
      <c r="B104" s="238" t="s">
        <v>55</v>
      </c>
      <c r="C104" s="239"/>
      <c r="D104" s="240"/>
      <c r="E104" s="200">
        <f>B17</f>
        <v>0</v>
      </c>
      <c r="F104" s="184" t="s">
        <v>9</v>
      </c>
      <c r="G104" s="244" t="s">
        <v>200</v>
      </c>
      <c r="H104" s="245"/>
      <c r="I104" s="248"/>
      <c r="J104" s="186" t="s">
        <v>53</v>
      </c>
      <c r="K104" s="184">
        <f>I104/2</f>
        <v>0</v>
      </c>
      <c r="L104" s="202" t="e">
        <f>(-((E92-E100)/(E102-E100))+1)*B31*B32</f>
        <v>#DIV/0!</v>
      </c>
      <c r="M104" s="232" t="e">
        <f>L104*K104</f>
        <v>#DIV/0!</v>
      </c>
      <c r="N104" s="234" t="e">
        <f>M104^2</f>
        <v>#DIV/0!</v>
      </c>
      <c r="O104" s="256" t="e">
        <f>N104/$N$144</f>
        <v>#DIV/0!</v>
      </c>
    </row>
    <row r="105" spans="1:15" ht="15" thickBot="1" x14ac:dyDescent="0.35">
      <c r="A105" s="185"/>
      <c r="B105" s="241"/>
      <c r="C105" s="242"/>
      <c r="D105" s="243"/>
      <c r="E105" s="201"/>
      <c r="F105" s="185"/>
      <c r="G105" s="246"/>
      <c r="H105" s="247"/>
      <c r="I105" s="249"/>
      <c r="J105" s="187"/>
      <c r="K105" s="185"/>
      <c r="L105" s="203"/>
      <c r="M105" s="233"/>
      <c r="N105" s="235"/>
      <c r="O105" s="257"/>
    </row>
    <row r="106" spans="1:15" ht="14.4" customHeight="1" x14ac:dyDescent="0.3">
      <c r="A106" s="184">
        <v>5</v>
      </c>
      <c r="B106" s="238" t="s">
        <v>56</v>
      </c>
      <c r="C106" s="239"/>
      <c r="D106" s="240"/>
      <c r="E106" s="200">
        <f>B18</f>
        <v>0</v>
      </c>
      <c r="F106" s="184" t="s">
        <v>9</v>
      </c>
      <c r="G106" s="244" t="s">
        <v>200</v>
      </c>
      <c r="H106" s="245"/>
      <c r="I106" s="248"/>
      <c r="J106" s="186" t="s">
        <v>53</v>
      </c>
      <c r="K106" s="258">
        <f>I106/2</f>
        <v>0</v>
      </c>
      <c r="L106" s="184" t="e">
        <f>((E92-E100)/(E102-E100))*B31*B32</f>
        <v>#DIV/0!</v>
      </c>
      <c r="M106" s="232" t="e">
        <f>L106*K106</f>
        <v>#DIV/0!</v>
      </c>
      <c r="N106" s="234" t="e">
        <f>M106^2</f>
        <v>#DIV/0!</v>
      </c>
      <c r="O106" s="190" t="e">
        <f t="shared" ref="O106" si="3">N106/$N$144</f>
        <v>#DIV/0!</v>
      </c>
    </row>
    <row r="107" spans="1:15" ht="15" thickBot="1" x14ac:dyDescent="0.35">
      <c r="A107" s="185"/>
      <c r="B107" s="241"/>
      <c r="C107" s="242"/>
      <c r="D107" s="243"/>
      <c r="E107" s="201"/>
      <c r="F107" s="185"/>
      <c r="G107" s="246"/>
      <c r="H107" s="247"/>
      <c r="I107" s="249"/>
      <c r="J107" s="187"/>
      <c r="K107" s="259"/>
      <c r="L107" s="185"/>
      <c r="M107" s="233"/>
      <c r="N107" s="235"/>
      <c r="O107" s="191"/>
    </row>
    <row r="108" spans="1:15" x14ac:dyDescent="0.3">
      <c r="A108" s="184">
        <v>6</v>
      </c>
      <c r="B108" s="196" t="s">
        <v>208</v>
      </c>
      <c r="C108" s="186"/>
      <c r="D108" s="197"/>
      <c r="E108" s="184">
        <f>B19</f>
        <v>0</v>
      </c>
      <c r="F108" s="184" t="s">
        <v>8</v>
      </c>
      <c r="G108" s="196" t="s">
        <v>57</v>
      </c>
      <c r="H108" s="197"/>
      <c r="I108" s="252">
        <f>E108*0.1</f>
        <v>0</v>
      </c>
      <c r="J108" s="186" t="s">
        <v>137</v>
      </c>
      <c r="K108" s="250">
        <f>I108/SQRT(12)</f>
        <v>0</v>
      </c>
      <c r="L108" s="184" t="e">
        <f>B30*(E110-20)*C78</f>
        <v>#DIV/0!</v>
      </c>
      <c r="M108" s="234" t="e">
        <f>L108*K108</f>
        <v>#DIV/0!</v>
      </c>
      <c r="N108" s="234" t="e">
        <f>M108^2</f>
        <v>#DIV/0!</v>
      </c>
      <c r="O108" s="230" t="e">
        <f>N108/$N$144</f>
        <v>#DIV/0!</v>
      </c>
    </row>
    <row r="109" spans="1:15" ht="15" thickBot="1" x14ac:dyDescent="0.35">
      <c r="A109" s="185"/>
      <c r="B109" s="198"/>
      <c r="C109" s="187"/>
      <c r="D109" s="199"/>
      <c r="E109" s="185"/>
      <c r="F109" s="185"/>
      <c r="G109" s="198"/>
      <c r="H109" s="199"/>
      <c r="I109" s="253"/>
      <c r="J109" s="187"/>
      <c r="K109" s="251"/>
      <c r="L109" s="185"/>
      <c r="M109" s="235"/>
      <c r="N109" s="235"/>
      <c r="O109" s="231"/>
    </row>
    <row r="110" spans="1:15" x14ac:dyDescent="0.3">
      <c r="A110" s="184">
        <v>7</v>
      </c>
      <c r="B110" s="196" t="s">
        <v>58</v>
      </c>
      <c r="C110" s="186"/>
      <c r="D110" s="197"/>
      <c r="E110" s="184">
        <f>B20</f>
        <v>0</v>
      </c>
      <c r="F110" s="184" t="s">
        <v>14</v>
      </c>
      <c r="G110" s="238" t="s">
        <v>191</v>
      </c>
      <c r="H110" s="240"/>
      <c r="I110" s="168" t="s">
        <v>61</v>
      </c>
      <c r="J110" s="169"/>
      <c r="K110" s="236">
        <f>SQRT(N112+N120)</f>
        <v>0.10218957057025602</v>
      </c>
      <c r="L110" s="202" t="e">
        <f>E108*B30*C78</f>
        <v>#DIV/0!</v>
      </c>
      <c r="M110" s="232" t="e">
        <f>L110*K110</f>
        <v>#DIV/0!</v>
      </c>
      <c r="N110" s="234" t="e">
        <f>M110^2</f>
        <v>#DIV/0!</v>
      </c>
      <c r="O110" s="230" t="e">
        <f t="shared" ref="O110" si="4">N110/$N$144</f>
        <v>#DIV/0!</v>
      </c>
    </row>
    <row r="111" spans="1:15" ht="15" thickBot="1" x14ac:dyDescent="0.35">
      <c r="A111" s="185"/>
      <c r="B111" s="198"/>
      <c r="C111" s="187"/>
      <c r="D111" s="199"/>
      <c r="E111" s="185"/>
      <c r="F111" s="185"/>
      <c r="G111" s="241"/>
      <c r="H111" s="243"/>
      <c r="I111" s="170"/>
      <c r="J111" s="171"/>
      <c r="K111" s="237"/>
      <c r="L111" s="203"/>
      <c r="M111" s="233"/>
      <c r="N111" s="235"/>
      <c r="O111" s="231"/>
    </row>
    <row r="112" spans="1:15" x14ac:dyDescent="0.3">
      <c r="A112" s="162">
        <v>7.1</v>
      </c>
      <c r="B112" s="168" t="s">
        <v>59</v>
      </c>
      <c r="C112" s="158"/>
      <c r="D112" s="169"/>
      <c r="E112" s="162">
        <f>B21</f>
        <v>0</v>
      </c>
      <c r="F112" s="162" t="s">
        <v>14</v>
      </c>
      <c r="G112" s="168" t="s">
        <v>66</v>
      </c>
      <c r="H112" s="169"/>
      <c r="I112" s="222" t="s">
        <v>64</v>
      </c>
      <c r="J112" s="223"/>
      <c r="K112" s="218">
        <f>SQRT(N114+N116+N118)</f>
        <v>0.10408329997330665</v>
      </c>
      <c r="L112" s="162">
        <f>7/8</f>
        <v>0.875</v>
      </c>
      <c r="M112" s="220">
        <f>L112*K112</f>
        <v>9.1072887476643313E-2</v>
      </c>
      <c r="N112" s="174">
        <f>M112^2</f>
        <v>8.2942708333333341E-3</v>
      </c>
      <c r="O112" s="162"/>
    </row>
    <row r="113" spans="1:17" ht="15" thickBot="1" x14ac:dyDescent="0.35">
      <c r="A113" s="163"/>
      <c r="B113" s="170"/>
      <c r="C113" s="159"/>
      <c r="D113" s="171"/>
      <c r="E113" s="163"/>
      <c r="F113" s="163"/>
      <c r="G113" s="170"/>
      <c r="H113" s="171"/>
      <c r="I113" s="224"/>
      <c r="J113" s="225"/>
      <c r="K113" s="219"/>
      <c r="L113" s="163"/>
      <c r="M113" s="221"/>
      <c r="N113" s="175"/>
      <c r="O113" s="163"/>
    </row>
    <row r="114" spans="1:17" ht="14.4" customHeight="1" x14ac:dyDescent="0.3">
      <c r="A114" s="208" t="s">
        <v>60</v>
      </c>
      <c r="B114" s="212" t="s">
        <v>47</v>
      </c>
      <c r="C114" s="204"/>
      <c r="D114" s="213"/>
      <c r="E114" s="208"/>
      <c r="F114" s="208" t="s">
        <v>14</v>
      </c>
      <c r="G114" s="212" t="s">
        <v>204</v>
      </c>
      <c r="H114" s="213"/>
      <c r="I114" s="180">
        <v>0.2</v>
      </c>
      <c r="J114" s="204" t="s">
        <v>53</v>
      </c>
      <c r="K114" s="208">
        <f>I114/2</f>
        <v>0.1</v>
      </c>
      <c r="L114" s="208">
        <v>1</v>
      </c>
      <c r="M114" s="204">
        <f>L114*K114</f>
        <v>0.1</v>
      </c>
      <c r="N114" s="208">
        <f>M114^2</f>
        <v>1.0000000000000002E-2</v>
      </c>
      <c r="O114" s="208"/>
    </row>
    <row r="115" spans="1:17" ht="15" thickBot="1" x14ac:dyDescent="0.35">
      <c r="A115" s="209"/>
      <c r="B115" s="214"/>
      <c r="C115" s="205"/>
      <c r="D115" s="215"/>
      <c r="E115" s="209"/>
      <c r="F115" s="209"/>
      <c r="G115" s="214"/>
      <c r="H115" s="215"/>
      <c r="I115" s="181"/>
      <c r="J115" s="205"/>
      <c r="K115" s="209"/>
      <c r="L115" s="209"/>
      <c r="M115" s="205"/>
      <c r="N115" s="209"/>
      <c r="O115" s="209"/>
    </row>
    <row r="116" spans="1:17" x14ac:dyDescent="0.3">
      <c r="A116" s="208" t="s">
        <v>62</v>
      </c>
      <c r="B116" s="212" t="s">
        <v>48</v>
      </c>
      <c r="C116" s="204"/>
      <c r="D116" s="213"/>
      <c r="E116" s="208"/>
      <c r="F116" s="208" t="s">
        <v>14</v>
      </c>
      <c r="G116" s="212" t="s">
        <v>51</v>
      </c>
      <c r="H116" s="213"/>
      <c r="I116" s="180">
        <v>0.1</v>
      </c>
      <c r="J116" s="204" t="s">
        <v>137</v>
      </c>
      <c r="K116" s="226">
        <f>I116/SQRT(12)</f>
        <v>2.8867513459481291E-2</v>
      </c>
      <c r="L116" s="208">
        <v>1</v>
      </c>
      <c r="M116" s="204">
        <f>L116*K116</f>
        <v>2.8867513459481291E-2</v>
      </c>
      <c r="N116" s="210">
        <f>M116^2</f>
        <v>8.333333333333335E-4</v>
      </c>
      <c r="O116" s="208"/>
    </row>
    <row r="117" spans="1:17" ht="15" thickBot="1" x14ac:dyDescent="0.35">
      <c r="A117" s="209"/>
      <c r="B117" s="214"/>
      <c r="C117" s="205"/>
      <c r="D117" s="215"/>
      <c r="E117" s="209"/>
      <c r="F117" s="209"/>
      <c r="G117" s="214"/>
      <c r="H117" s="215"/>
      <c r="I117" s="181"/>
      <c r="J117" s="205"/>
      <c r="K117" s="227"/>
      <c r="L117" s="209"/>
      <c r="M117" s="205"/>
      <c r="N117" s="211"/>
      <c r="O117" s="209"/>
    </row>
    <row r="118" spans="1:17" x14ac:dyDescent="0.3">
      <c r="A118" s="208" t="s">
        <v>63</v>
      </c>
      <c r="B118" s="212" t="s">
        <v>49</v>
      </c>
      <c r="C118" s="204"/>
      <c r="D118" s="213"/>
      <c r="E118" s="208"/>
      <c r="F118" s="208" t="s">
        <v>14</v>
      </c>
      <c r="G118" s="212" t="s">
        <v>52</v>
      </c>
      <c r="H118" s="213"/>
      <c r="I118" s="228">
        <f>ABS('Inventario Inicial'!B20-'Inventario Final'!B20)</f>
        <v>0</v>
      </c>
      <c r="J118" s="204" t="s">
        <v>137</v>
      </c>
      <c r="K118" s="226">
        <f>I118/SQRT(12)</f>
        <v>0</v>
      </c>
      <c r="L118" s="208">
        <v>1</v>
      </c>
      <c r="M118" s="204">
        <f>L118*K118</f>
        <v>0</v>
      </c>
      <c r="N118" s="210">
        <f>M118^2</f>
        <v>0</v>
      </c>
      <c r="O118" s="208"/>
      <c r="Q118" t="s">
        <v>72</v>
      </c>
    </row>
    <row r="119" spans="1:17" ht="15" thickBot="1" x14ac:dyDescent="0.35">
      <c r="A119" s="209"/>
      <c r="B119" s="214"/>
      <c r="C119" s="205"/>
      <c r="D119" s="215"/>
      <c r="E119" s="209"/>
      <c r="F119" s="209"/>
      <c r="G119" s="214"/>
      <c r="H119" s="215"/>
      <c r="I119" s="229"/>
      <c r="J119" s="205"/>
      <c r="K119" s="227"/>
      <c r="L119" s="209"/>
      <c r="M119" s="205"/>
      <c r="N119" s="211"/>
      <c r="O119" s="209"/>
      <c r="Q119" s="6" t="s">
        <v>73</v>
      </c>
    </row>
    <row r="120" spans="1:17" x14ac:dyDescent="0.3">
      <c r="A120" s="162">
        <v>7.2</v>
      </c>
      <c r="B120" s="168" t="s">
        <v>65</v>
      </c>
      <c r="C120" s="158"/>
      <c r="D120" s="169"/>
      <c r="E120" s="162">
        <f>B22</f>
        <v>0</v>
      </c>
      <c r="F120" s="162" t="s">
        <v>14</v>
      </c>
      <c r="G120" s="168" t="s">
        <v>67</v>
      </c>
      <c r="H120" s="169"/>
      <c r="I120" s="222" t="s">
        <v>71</v>
      </c>
      <c r="J120" s="223"/>
      <c r="K120" s="218">
        <f>SQRT(N122+N124+N126)</f>
        <v>0.37080992435478322</v>
      </c>
      <c r="L120" s="162">
        <f>1/8</f>
        <v>0.125</v>
      </c>
      <c r="M120" s="220">
        <f>L120*K120</f>
        <v>4.6351240544347902E-2</v>
      </c>
      <c r="N120" s="174">
        <f>M120^2</f>
        <v>2.1484375000000006E-3</v>
      </c>
      <c r="O120" s="162"/>
      <c r="Q120" t="s">
        <v>74</v>
      </c>
    </row>
    <row r="121" spans="1:17" ht="15" thickBot="1" x14ac:dyDescent="0.35">
      <c r="A121" s="163"/>
      <c r="B121" s="170"/>
      <c r="C121" s="159"/>
      <c r="D121" s="171"/>
      <c r="E121" s="163"/>
      <c r="F121" s="163"/>
      <c r="G121" s="170"/>
      <c r="H121" s="171"/>
      <c r="I121" s="224"/>
      <c r="J121" s="225"/>
      <c r="K121" s="219"/>
      <c r="L121" s="163"/>
      <c r="M121" s="221"/>
      <c r="N121" s="175"/>
      <c r="O121" s="163"/>
    </row>
    <row r="122" spans="1:17" x14ac:dyDescent="0.3">
      <c r="A122" s="208" t="s">
        <v>68</v>
      </c>
      <c r="B122" s="212" t="s">
        <v>47</v>
      </c>
      <c r="C122" s="204"/>
      <c r="D122" s="213"/>
      <c r="E122" s="208"/>
      <c r="F122" s="208" t="s">
        <v>14</v>
      </c>
      <c r="G122" s="212" t="s">
        <v>51</v>
      </c>
      <c r="H122" s="213"/>
      <c r="I122" s="180">
        <v>0.8</v>
      </c>
      <c r="J122" s="204" t="s">
        <v>137</v>
      </c>
      <c r="K122" s="208">
        <f>I122/SQRT(12)</f>
        <v>0.23094010767585033</v>
      </c>
      <c r="L122" s="208">
        <v>1</v>
      </c>
      <c r="M122" s="204">
        <f>L122*K122</f>
        <v>0.23094010767585033</v>
      </c>
      <c r="N122" s="208">
        <f>M122^2</f>
        <v>5.3333333333333344E-2</v>
      </c>
      <c r="O122" s="208"/>
    </row>
    <row r="123" spans="1:17" ht="15" thickBot="1" x14ac:dyDescent="0.35">
      <c r="A123" s="209"/>
      <c r="B123" s="214"/>
      <c r="C123" s="205"/>
      <c r="D123" s="215"/>
      <c r="E123" s="209"/>
      <c r="F123" s="209"/>
      <c r="G123" s="214"/>
      <c r="H123" s="215"/>
      <c r="I123" s="181"/>
      <c r="J123" s="205"/>
      <c r="K123" s="209"/>
      <c r="L123" s="209"/>
      <c r="M123" s="205"/>
      <c r="N123" s="209"/>
      <c r="O123" s="209"/>
    </row>
    <row r="124" spans="1:17" x14ac:dyDescent="0.3">
      <c r="A124" s="208" t="s">
        <v>69</v>
      </c>
      <c r="B124" s="212" t="s">
        <v>48</v>
      </c>
      <c r="C124" s="204"/>
      <c r="D124" s="213"/>
      <c r="E124" s="208"/>
      <c r="F124" s="208" t="s">
        <v>14</v>
      </c>
      <c r="G124" s="212" t="s">
        <v>51</v>
      </c>
      <c r="H124" s="213"/>
      <c r="I124" s="180">
        <v>0.1</v>
      </c>
      <c r="J124" s="204" t="s">
        <v>137</v>
      </c>
      <c r="K124" s="206">
        <f>I124/SQRT(12)</f>
        <v>2.8867513459481291E-2</v>
      </c>
      <c r="L124" s="208">
        <v>1</v>
      </c>
      <c r="M124" s="204">
        <f>L124*K124</f>
        <v>2.8867513459481291E-2</v>
      </c>
      <c r="N124" s="210">
        <f t="shared" ref="N124:N126" si="5">M124^2</f>
        <v>8.333333333333335E-4</v>
      </c>
      <c r="O124" s="208"/>
    </row>
    <row r="125" spans="1:17" ht="15" thickBot="1" x14ac:dyDescent="0.35">
      <c r="A125" s="209"/>
      <c r="B125" s="214"/>
      <c r="C125" s="205"/>
      <c r="D125" s="215"/>
      <c r="E125" s="209"/>
      <c r="F125" s="209"/>
      <c r="G125" s="214"/>
      <c r="H125" s="215"/>
      <c r="I125" s="181"/>
      <c r="J125" s="205"/>
      <c r="K125" s="207"/>
      <c r="L125" s="209"/>
      <c r="M125" s="205"/>
      <c r="N125" s="211"/>
      <c r="O125" s="209"/>
    </row>
    <row r="126" spans="1:17" x14ac:dyDescent="0.3">
      <c r="A126" s="208" t="s">
        <v>70</v>
      </c>
      <c r="B126" s="212" t="s">
        <v>49</v>
      </c>
      <c r="C126" s="204"/>
      <c r="D126" s="213"/>
      <c r="E126" s="208"/>
      <c r="F126" s="208" t="s">
        <v>14</v>
      </c>
      <c r="G126" s="212" t="s">
        <v>52</v>
      </c>
      <c r="H126" s="213"/>
      <c r="I126" s="216">
        <v>1</v>
      </c>
      <c r="J126" s="204" t="s">
        <v>137</v>
      </c>
      <c r="K126" s="206">
        <f>I126/SQRT(12)</f>
        <v>0.28867513459481292</v>
      </c>
      <c r="L126" s="208">
        <v>1</v>
      </c>
      <c r="M126" s="204">
        <f>L126*K126</f>
        <v>0.28867513459481292</v>
      </c>
      <c r="N126" s="210">
        <f t="shared" si="5"/>
        <v>8.3333333333333356E-2</v>
      </c>
      <c r="O126" s="208"/>
    </row>
    <row r="127" spans="1:17" ht="15" thickBot="1" x14ac:dyDescent="0.35">
      <c r="A127" s="209"/>
      <c r="B127" s="214"/>
      <c r="C127" s="205"/>
      <c r="D127" s="215"/>
      <c r="E127" s="209"/>
      <c r="F127" s="209"/>
      <c r="G127" s="214"/>
      <c r="H127" s="215"/>
      <c r="I127" s="217"/>
      <c r="J127" s="205"/>
      <c r="K127" s="207"/>
      <c r="L127" s="209"/>
      <c r="M127" s="205"/>
      <c r="N127" s="211"/>
      <c r="O127" s="209"/>
    </row>
    <row r="128" spans="1:17" x14ac:dyDescent="0.3">
      <c r="A128" s="184">
        <v>8</v>
      </c>
      <c r="B128" s="196" t="s">
        <v>207</v>
      </c>
      <c r="C128" s="186"/>
      <c r="D128" s="197"/>
      <c r="E128" s="200" t="e">
        <f>C75</f>
        <v>#DIV/0!</v>
      </c>
      <c r="F128" s="184" t="s">
        <v>16</v>
      </c>
      <c r="G128" s="196"/>
      <c r="H128" s="197"/>
      <c r="I128" s="192" t="s">
        <v>79</v>
      </c>
      <c r="J128" s="193"/>
      <c r="K128" s="202" t="e">
        <f>SQRT(N130+N132+N134)</f>
        <v>#DIV/0!</v>
      </c>
      <c r="L128" s="184" t="e">
        <f>B30*B31*(1/C76)</f>
        <v>#DIV/0!</v>
      </c>
      <c r="M128" s="186" t="e">
        <f>L128*K128</f>
        <v>#DIV/0!</v>
      </c>
      <c r="N128" s="188" t="e">
        <f>M128^2</f>
        <v>#DIV/0!</v>
      </c>
      <c r="O128" s="190" t="e">
        <f>N128/$N$144</f>
        <v>#DIV/0!</v>
      </c>
    </row>
    <row r="129" spans="1:15" ht="15" thickBot="1" x14ac:dyDescent="0.35">
      <c r="A129" s="185"/>
      <c r="B129" s="198"/>
      <c r="C129" s="187"/>
      <c r="D129" s="199"/>
      <c r="E129" s="201"/>
      <c r="F129" s="185"/>
      <c r="G129" s="198"/>
      <c r="H129" s="199"/>
      <c r="I129" s="194"/>
      <c r="J129" s="195"/>
      <c r="K129" s="203"/>
      <c r="L129" s="185"/>
      <c r="M129" s="187"/>
      <c r="N129" s="189"/>
      <c r="O129" s="191"/>
    </row>
    <row r="130" spans="1:15" x14ac:dyDescent="0.3">
      <c r="A130" s="162">
        <v>8.1</v>
      </c>
      <c r="B130" s="168" t="s">
        <v>76</v>
      </c>
      <c r="C130" s="158"/>
      <c r="D130" s="169"/>
      <c r="E130" s="178">
        <f>B25</f>
        <v>0</v>
      </c>
      <c r="F130" s="162" t="s">
        <v>16</v>
      </c>
      <c r="G130" s="168" t="s">
        <v>51</v>
      </c>
      <c r="H130" s="169"/>
      <c r="I130" s="180">
        <v>0.2</v>
      </c>
      <c r="J130" s="158" t="s">
        <v>137</v>
      </c>
      <c r="K130" s="162">
        <f>I130/SQRT(12)</f>
        <v>5.7735026918962581E-2</v>
      </c>
      <c r="L130" s="162">
        <v>1</v>
      </c>
      <c r="M130" s="158">
        <f>L130*K130</f>
        <v>5.7735026918962581E-2</v>
      </c>
      <c r="N130" s="162">
        <f>M130^2</f>
        <v>3.333333333333334E-3</v>
      </c>
      <c r="O130" s="162"/>
    </row>
    <row r="131" spans="1:15" ht="15" thickBot="1" x14ac:dyDescent="0.35">
      <c r="A131" s="163"/>
      <c r="B131" s="170"/>
      <c r="C131" s="159"/>
      <c r="D131" s="171"/>
      <c r="E131" s="163"/>
      <c r="F131" s="163"/>
      <c r="G131" s="170"/>
      <c r="H131" s="171"/>
      <c r="I131" s="181"/>
      <c r="J131" s="159"/>
      <c r="K131" s="163"/>
      <c r="L131" s="163"/>
      <c r="M131" s="159"/>
      <c r="N131" s="163"/>
      <c r="O131" s="163"/>
    </row>
    <row r="132" spans="1:15" x14ac:dyDescent="0.3">
      <c r="A132" s="162" t="s">
        <v>75</v>
      </c>
      <c r="B132" s="168" t="s">
        <v>77</v>
      </c>
      <c r="C132" s="158"/>
      <c r="D132" s="169"/>
      <c r="E132" s="162">
        <f>B26</f>
        <v>0</v>
      </c>
      <c r="F132" s="162" t="s">
        <v>14</v>
      </c>
      <c r="G132" s="168" t="s">
        <v>204</v>
      </c>
      <c r="H132" s="169"/>
      <c r="I132" s="176">
        <v>0.2</v>
      </c>
      <c r="J132" s="158" t="s">
        <v>53</v>
      </c>
      <c r="K132" s="162">
        <f>I132/2</f>
        <v>0.1</v>
      </c>
      <c r="L132" s="174" t="e">
        <f>E128*((-C71*(1+0.8*C71*(E132-15)))+(-C71*(E132-15)*(0.8*C71)))</f>
        <v>#DIV/0!</v>
      </c>
      <c r="M132" s="158" t="e">
        <f>L132*K132</f>
        <v>#DIV/0!</v>
      </c>
      <c r="N132" s="164" t="e">
        <f>M132^2</f>
        <v>#DIV/0!</v>
      </c>
      <c r="O132" s="162"/>
    </row>
    <row r="133" spans="1:15" ht="15" thickBot="1" x14ac:dyDescent="0.35">
      <c r="A133" s="163"/>
      <c r="B133" s="170"/>
      <c r="C133" s="159"/>
      <c r="D133" s="171"/>
      <c r="E133" s="163"/>
      <c r="F133" s="163"/>
      <c r="G133" s="170"/>
      <c r="H133" s="171"/>
      <c r="I133" s="177"/>
      <c r="J133" s="159"/>
      <c r="K133" s="163"/>
      <c r="L133" s="175"/>
      <c r="M133" s="159"/>
      <c r="N133" s="165"/>
      <c r="O133" s="163"/>
    </row>
    <row r="134" spans="1:15" x14ac:dyDescent="0.3">
      <c r="A134" s="162">
        <v>8.3000000000000007</v>
      </c>
      <c r="B134" s="168" t="s">
        <v>78</v>
      </c>
      <c r="C134" s="158"/>
      <c r="D134" s="169"/>
      <c r="E134" s="162"/>
      <c r="F134" s="162" t="s">
        <v>16</v>
      </c>
      <c r="G134" s="168" t="s">
        <v>193</v>
      </c>
      <c r="H134" s="169"/>
      <c r="I134" s="172" t="e">
        <f>E128*(0.15/100)</f>
        <v>#DIV/0!</v>
      </c>
      <c r="J134" s="158" t="s">
        <v>137</v>
      </c>
      <c r="K134" s="160" t="e">
        <f>I134/SQRT(12)</f>
        <v>#DIV/0!</v>
      </c>
      <c r="L134" s="162">
        <v>1</v>
      </c>
      <c r="M134" s="158" t="e">
        <f t="shared" ref="M134" si="6">L134*K134</f>
        <v>#DIV/0!</v>
      </c>
      <c r="N134" s="164" t="e">
        <f>M134^2</f>
        <v>#DIV/0!</v>
      </c>
      <c r="O134" s="162"/>
    </row>
    <row r="135" spans="1:15" ht="15" thickBot="1" x14ac:dyDescent="0.35">
      <c r="A135" s="163"/>
      <c r="B135" s="170"/>
      <c r="C135" s="159"/>
      <c r="D135" s="171"/>
      <c r="E135" s="163"/>
      <c r="F135" s="163"/>
      <c r="G135" s="170"/>
      <c r="H135" s="171"/>
      <c r="I135" s="173"/>
      <c r="J135" s="159"/>
      <c r="K135" s="161"/>
      <c r="L135" s="163"/>
      <c r="M135" s="159"/>
      <c r="N135" s="165"/>
      <c r="O135" s="163"/>
    </row>
    <row r="136" spans="1:15" x14ac:dyDescent="0.3">
      <c r="A136" s="184">
        <v>9</v>
      </c>
      <c r="B136" s="196" t="s">
        <v>206</v>
      </c>
      <c r="C136" s="186"/>
      <c r="D136" s="197"/>
      <c r="E136" s="200" t="e">
        <f>C76</f>
        <v>#DIV/0!</v>
      </c>
      <c r="F136" s="184" t="s">
        <v>16</v>
      </c>
      <c r="G136" s="196"/>
      <c r="H136" s="197"/>
      <c r="I136" s="192" t="s">
        <v>194</v>
      </c>
      <c r="J136" s="193"/>
      <c r="K136" s="182" t="e">
        <f>SQRT(N138+N140+N142)</f>
        <v>#DIV/0!</v>
      </c>
      <c r="L136" s="184" t="e">
        <f>B30*B31*(-E128/E136^2)</f>
        <v>#DIV/0!</v>
      </c>
      <c r="M136" s="186" t="e">
        <f>L136*K136</f>
        <v>#DIV/0!</v>
      </c>
      <c r="N136" s="188" t="e">
        <f>M136^2</f>
        <v>#DIV/0!</v>
      </c>
      <c r="O136" s="190" t="e">
        <f>N136/$N$144</f>
        <v>#DIV/0!</v>
      </c>
    </row>
    <row r="137" spans="1:15" ht="15" thickBot="1" x14ac:dyDescent="0.35">
      <c r="A137" s="185"/>
      <c r="B137" s="198"/>
      <c r="C137" s="187"/>
      <c r="D137" s="199"/>
      <c r="E137" s="201"/>
      <c r="F137" s="185"/>
      <c r="G137" s="198"/>
      <c r="H137" s="199"/>
      <c r="I137" s="194"/>
      <c r="J137" s="195"/>
      <c r="K137" s="183"/>
      <c r="L137" s="185"/>
      <c r="M137" s="187"/>
      <c r="N137" s="189"/>
      <c r="O137" s="191"/>
    </row>
    <row r="138" spans="1:15" x14ac:dyDescent="0.3">
      <c r="A138" s="166">
        <v>9.1</v>
      </c>
      <c r="B138" s="168" t="s">
        <v>76</v>
      </c>
      <c r="C138" s="158"/>
      <c r="D138" s="169"/>
      <c r="E138" s="178">
        <f>B25</f>
        <v>0</v>
      </c>
      <c r="F138" s="162" t="s">
        <v>16</v>
      </c>
      <c r="G138" s="168" t="s">
        <v>51</v>
      </c>
      <c r="H138" s="169"/>
      <c r="I138" s="180">
        <v>0.2</v>
      </c>
      <c r="J138" s="158" t="s">
        <v>137</v>
      </c>
      <c r="K138" s="162">
        <f>I138/SQRT(12)</f>
        <v>5.7735026918962581E-2</v>
      </c>
      <c r="L138" s="162">
        <v>1</v>
      </c>
      <c r="M138" s="158">
        <f>L138*K138</f>
        <v>5.7735026918962581E-2</v>
      </c>
      <c r="N138" s="162">
        <f>M138^2</f>
        <v>3.333333333333334E-3</v>
      </c>
      <c r="O138" s="162"/>
    </row>
    <row r="139" spans="1:15" ht="15" thickBot="1" x14ac:dyDescent="0.35">
      <c r="A139" s="167"/>
      <c r="B139" s="170"/>
      <c r="C139" s="159"/>
      <c r="D139" s="171"/>
      <c r="E139" s="179"/>
      <c r="F139" s="163"/>
      <c r="G139" s="170"/>
      <c r="H139" s="171"/>
      <c r="I139" s="181"/>
      <c r="J139" s="159"/>
      <c r="K139" s="163"/>
      <c r="L139" s="163"/>
      <c r="M139" s="159"/>
      <c r="N139" s="163"/>
      <c r="O139" s="163"/>
    </row>
    <row r="140" spans="1:15" x14ac:dyDescent="0.3">
      <c r="A140" s="166">
        <v>9.1999999999999993</v>
      </c>
      <c r="B140" s="168" t="s">
        <v>77</v>
      </c>
      <c r="C140" s="158"/>
      <c r="D140" s="169"/>
      <c r="E140" s="162">
        <v>20</v>
      </c>
      <c r="F140" s="162" t="s">
        <v>14</v>
      </c>
      <c r="G140" s="168" t="s">
        <v>204</v>
      </c>
      <c r="H140" s="169"/>
      <c r="I140" s="176">
        <v>0.2</v>
      </c>
      <c r="J140" s="158" t="s">
        <v>53</v>
      </c>
      <c r="K140" s="162">
        <f>I140/2</f>
        <v>0.1</v>
      </c>
      <c r="L140" s="174" t="e">
        <f>E136*((-C71*(1+0.8*C71*(E140-15)))+(-C71*(E140-15)*(0.8*C71)))</f>
        <v>#DIV/0!</v>
      </c>
      <c r="M140" s="158" t="e">
        <f>L140*K140</f>
        <v>#DIV/0!</v>
      </c>
      <c r="N140" s="164" t="e">
        <f>M140^2</f>
        <v>#DIV/0!</v>
      </c>
      <c r="O140" s="162"/>
    </row>
    <row r="141" spans="1:15" ht="15" thickBot="1" x14ac:dyDescent="0.35">
      <c r="A141" s="167"/>
      <c r="B141" s="170"/>
      <c r="C141" s="159"/>
      <c r="D141" s="171"/>
      <c r="E141" s="163"/>
      <c r="F141" s="163"/>
      <c r="G141" s="170"/>
      <c r="H141" s="171"/>
      <c r="I141" s="177"/>
      <c r="J141" s="159"/>
      <c r="K141" s="163"/>
      <c r="L141" s="175"/>
      <c r="M141" s="159"/>
      <c r="N141" s="165"/>
      <c r="O141" s="163"/>
    </row>
    <row r="142" spans="1:15" x14ac:dyDescent="0.3">
      <c r="A142" s="166">
        <v>9.3000000000000007</v>
      </c>
      <c r="B142" s="168" t="s">
        <v>78</v>
      </c>
      <c r="C142" s="158"/>
      <c r="D142" s="169"/>
      <c r="E142" s="162"/>
      <c r="F142" s="162" t="s">
        <v>16</v>
      </c>
      <c r="G142" s="168" t="s">
        <v>80</v>
      </c>
      <c r="H142" s="169"/>
      <c r="I142" s="172" t="e">
        <f>E136*(0.15/100)</f>
        <v>#DIV/0!</v>
      </c>
      <c r="J142" s="158" t="s">
        <v>137</v>
      </c>
      <c r="K142" s="160" t="e">
        <f>I142/SQRT(12)</f>
        <v>#DIV/0!</v>
      </c>
      <c r="L142" s="162">
        <v>1</v>
      </c>
      <c r="M142" s="158" t="e">
        <f>L142*K142</f>
        <v>#DIV/0!</v>
      </c>
      <c r="N142" s="164" t="e">
        <f>M142^2</f>
        <v>#DIV/0!</v>
      </c>
      <c r="O142" s="162"/>
    </row>
    <row r="143" spans="1:15" ht="15" thickBot="1" x14ac:dyDescent="0.35">
      <c r="A143" s="167"/>
      <c r="B143" s="170"/>
      <c r="C143" s="159"/>
      <c r="D143" s="171"/>
      <c r="E143" s="163"/>
      <c r="F143" s="163"/>
      <c r="G143" s="170"/>
      <c r="H143" s="171"/>
      <c r="I143" s="173"/>
      <c r="J143" s="159"/>
      <c r="K143" s="161"/>
      <c r="L143" s="163"/>
      <c r="M143" s="159"/>
      <c r="N143" s="165"/>
      <c r="O143" s="163"/>
    </row>
    <row r="144" spans="1:15" ht="15" thickBot="1" x14ac:dyDescent="0.35">
      <c r="M144" s="10" t="s">
        <v>95</v>
      </c>
      <c r="N144" s="12" t="e">
        <f>SUM(N92,N100:N111,N128,N136)</f>
        <v>#DIV/0!</v>
      </c>
      <c r="O144" s="9" t="e">
        <f>SUM(O92,O100:O111,O128,O136)</f>
        <v>#DIV/0!</v>
      </c>
    </row>
    <row r="145" spans="13:15" ht="15" thickBot="1" x14ac:dyDescent="0.35">
      <c r="M145" s="10" t="s">
        <v>96</v>
      </c>
      <c r="N145" s="10" t="e">
        <f>SQRT(N144)</f>
        <v>#DIV/0!</v>
      </c>
      <c r="O145" t="s">
        <v>97</v>
      </c>
    </row>
    <row r="146" spans="13:15" ht="15" thickBot="1" x14ac:dyDescent="0.35">
      <c r="M146" s="10" t="s">
        <v>98</v>
      </c>
      <c r="N146" s="10" t="e">
        <f>N145*2</f>
        <v>#DIV/0!</v>
      </c>
    </row>
    <row r="147" spans="13:15" ht="15" thickBot="1" x14ac:dyDescent="0.35">
      <c r="M147" s="10" t="s">
        <v>99</v>
      </c>
      <c r="N147" s="11" t="e">
        <f>N146/C83</f>
        <v>#DIV/0!</v>
      </c>
    </row>
  </sheetData>
  <mergeCells count="316">
    <mergeCell ref="D25:F26"/>
    <mergeCell ref="D15:D18"/>
    <mergeCell ref="B50:C50"/>
    <mergeCell ref="B82:D82"/>
    <mergeCell ref="O92:O93"/>
    <mergeCell ref="K92:K93"/>
    <mergeCell ref="L92:L93"/>
    <mergeCell ref="N92:N93"/>
    <mergeCell ref="M92:M93"/>
    <mergeCell ref="B91:D91"/>
    <mergeCell ref="G91:H91"/>
    <mergeCell ref="A85:O88"/>
    <mergeCell ref="A92:A93"/>
    <mergeCell ref="B92:D93"/>
    <mergeCell ref="E92:E93"/>
    <mergeCell ref="F92:F93"/>
    <mergeCell ref="G92:H93"/>
    <mergeCell ref="F13:H22"/>
    <mergeCell ref="J94:J95"/>
    <mergeCell ref="K94:K95"/>
    <mergeCell ref="L94:L95"/>
    <mergeCell ref="M94:M95"/>
    <mergeCell ref="N94:N95"/>
    <mergeCell ref="O94:O95"/>
    <mergeCell ref="A94:A95"/>
    <mergeCell ref="B94:D95"/>
    <mergeCell ref="E94:E95"/>
    <mergeCell ref="F94:F95"/>
    <mergeCell ref="G94:H95"/>
    <mergeCell ref="I94:I95"/>
    <mergeCell ref="O98:O99"/>
    <mergeCell ref="A98:A99"/>
    <mergeCell ref="B98:D99"/>
    <mergeCell ref="E98:E99"/>
    <mergeCell ref="F98:F99"/>
    <mergeCell ref="G98:H99"/>
    <mergeCell ref="I98:I99"/>
    <mergeCell ref="J96:J97"/>
    <mergeCell ref="K96:K97"/>
    <mergeCell ref="L96:L97"/>
    <mergeCell ref="M96:M97"/>
    <mergeCell ref="N96:N97"/>
    <mergeCell ref="O96:O97"/>
    <mergeCell ref="A96:A97"/>
    <mergeCell ref="B96:D97"/>
    <mergeCell ref="E96:E97"/>
    <mergeCell ref="F96:F97"/>
    <mergeCell ref="G96:H97"/>
    <mergeCell ref="I96:I97"/>
    <mergeCell ref="A104:A105"/>
    <mergeCell ref="B104:D105"/>
    <mergeCell ref="E104:E105"/>
    <mergeCell ref="F104:F105"/>
    <mergeCell ref="J98:J99"/>
    <mergeCell ref="K98:K99"/>
    <mergeCell ref="L98:L99"/>
    <mergeCell ref="M98:M99"/>
    <mergeCell ref="N98:N99"/>
    <mergeCell ref="G104:H105"/>
    <mergeCell ref="I104:I105"/>
    <mergeCell ref="J104:J105"/>
    <mergeCell ref="K104:K105"/>
    <mergeCell ref="L104:L105"/>
    <mergeCell ref="M104:M105"/>
    <mergeCell ref="O102:O103"/>
    <mergeCell ref="A102:A103"/>
    <mergeCell ref="B102:D103"/>
    <mergeCell ref="E102:E103"/>
    <mergeCell ref="F102:F103"/>
    <mergeCell ref="G102:H103"/>
    <mergeCell ref="I102:I103"/>
    <mergeCell ref="J100:J101"/>
    <mergeCell ref="K100:K101"/>
    <mergeCell ref="L100:L101"/>
    <mergeCell ref="M100:M101"/>
    <mergeCell ref="N100:N101"/>
    <mergeCell ref="O100:O101"/>
    <mergeCell ref="A100:A101"/>
    <mergeCell ref="B100:D101"/>
    <mergeCell ref="E100:E101"/>
    <mergeCell ref="F100:F101"/>
    <mergeCell ref="G100:H101"/>
    <mergeCell ref="J102:J103"/>
    <mergeCell ref="K102:K103"/>
    <mergeCell ref="L102:L103"/>
    <mergeCell ref="M102:M103"/>
    <mergeCell ref="N102:N103"/>
    <mergeCell ref="N114:N115"/>
    <mergeCell ref="O114:O115"/>
    <mergeCell ref="I100:I101"/>
    <mergeCell ref="N104:N105"/>
    <mergeCell ref="O104:O105"/>
    <mergeCell ref="J106:J107"/>
    <mergeCell ref="K106:K107"/>
    <mergeCell ref="A89:O89"/>
    <mergeCell ref="I90:J90"/>
    <mergeCell ref="I92:J93"/>
    <mergeCell ref="A114:A115"/>
    <mergeCell ref="B114:D115"/>
    <mergeCell ref="E114:E115"/>
    <mergeCell ref="F114:F115"/>
    <mergeCell ref="G114:H115"/>
    <mergeCell ref="I114:I115"/>
    <mergeCell ref="J114:J115"/>
    <mergeCell ref="K112:K113"/>
    <mergeCell ref="L112:L113"/>
    <mergeCell ref="M112:M113"/>
    <mergeCell ref="N112:N113"/>
    <mergeCell ref="O112:O113"/>
    <mergeCell ref="I112:J113"/>
    <mergeCell ref="A112:A113"/>
    <mergeCell ref="K114:K115"/>
    <mergeCell ref="L114:L115"/>
    <mergeCell ref="M114:M115"/>
    <mergeCell ref="A108:A109"/>
    <mergeCell ref="B108:D109"/>
    <mergeCell ref="E108:E109"/>
    <mergeCell ref="F108:F109"/>
    <mergeCell ref="G108:H109"/>
    <mergeCell ref="I108:I109"/>
    <mergeCell ref="M108:M109"/>
    <mergeCell ref="I110:J111"/>
    <mergeCell ref="A110:A111"/>
    <mergeCell ref="B110:D111"/>
    <mergeCell ref="E110:E111"/>
    <mergeCell ref="F110:F111"/>
    <mergeCell ref="G110:H111"/>
    <mergeCell ref="B112:D113"/>
    <mergeCell ref="E112:E113"/>
    <mergeCell ref="F112:F113"/>
    <mergeCell ref="G112:H113"/>
    <mergeCell ref="A106:A107"/>
    <mergeCell ref="B106:D107"/>
    <mergeCell ref="E106:E107"/>
    <mergeCell ref="F106:F107"/>
    <mergeCell ref="G106:H107"/>
    <mergeCell ref="I106:I107"/>
    <mergeCell ref="J108:J109"/>
    <mergeCell ref="K108:K109"/>
    <mergeCell ref="L108:L109"/>
    <mergeCell ref="O108:O109"/>
    <mergeCell ref="L106:L107"/>
    <mergeCell ref="M106:M107"/>
    <mergeCell ref="N106:N107"/>
    <mergeCell ref="O106:O107"/>
    <mergeCell ref="K110:K111"/>
    <mergeCell ref="L110:L111"/>
    <mergeCell ref="M110:M111"/>
    <mergeCell ref="N110:N111"/>
    <mergeCell ref="O110:O111"/>
    <mergeCell ref="N108:N109"/>
    <mergeCell ref="J116:J117"/>
    <mergeCell ref="K116:K117"/>
    <mergeCell ref="L116:L117"/>
    <mergeCell ref="M116:M117"/>
    <mergeCell ref="N116:N117"/>
    <mergeCell ref="O116:O117"/>
    <mergeCell ref="A116:A117"/>
    <mergeCell ref="B116:D117"/>
    <mergeCell ref="E116:E117"/>
    <mergeCell ref="F116:F117"/>
    <mergeCell ref="G116:H117"/>
    <mergeCell ref="I116:I117"/>
    <mergeCell ref="J118:J119"/>
    <mergeCell ref="K118:K119"/>
    <mergeCell ref="L118:L119"/>
    <mergeCell ref="M118:M119"/>
    <mergeCell ref="N118:N119"/>
    <mergeCell ref="O118:O119"/>
    <mergeCell ref="A118:A119"/>
    <mergeCell ref="B118:D119"/>
    <mergeCell ref="E118:E119"/>
    <mergeCell ref="F118:F119"/>
    <mergeCell ref="G118:H119"/>
    <mergeCell ref="I118:I119"/>
    <mergeCell ref="K120:K121"/>
    <mergeCell ref="L120:L121"/>
    <mergeCell ref="M120:M121"/>
    <mergeCell ref="N120:N121"/>
    <mergeCell ref="O120:O121"/>
    <mergeCell ref="I120:J121"/>
    <mergeCell ref="A120:A121"/>
    <mergeCell ref="B120:D121"/>
    <mergeCell ref="E120:E121"/>
    <mergeCell ref="F120:F121"/>
    <mergeCell ref="G120:H121"/>
    <mergeCell ref="J122:J123"/>
    <mergeCell ref="K122:K123"/>
    <mergeCell ref="L122:L123"/>
    <mergeCell ref="M122:M123"/>
    <mergeCell ref="N122:N123"/>
    <mergeCell ref="O122:O123"/>
    <mergeCell ref="A122:A123"/>
    <mergeCell ref="B122:D123"/>
    <mergeCell ref="E122:E123"/>
    <mergeCell ref="F122:F123"/>
    <mergeCell ref="G122:H123"/>
    <mergeCell ref="I122:I123"/>
    <mergeCell ref="J124:J125"/>
    <mergeCell ref="K124:K125"/>
    <mergeCell ref="L124:L125"/>
    <mergeCell ref="M124:M125"/>
    <mergeCell ref="N124:N125"/>
    <mergeCell ref="O124:O125"/>
    <mergeCell ref="A124:A125"/>
    <mergeCell ref="B124:D125"/>
    <mergeCell ref="E124:E125"/>
    <mergeCell ref="F124:F125"/>
    <mergeCell ref="G124:H125"/>
    <mergeCell ref="I124:I125"/>
    <mergeCell ref="J126:J127"/>
    <mergeCell ref="K126:K127"/>
    <mergeCell ref="L126:L127"/>
    <mergeCell ref="M126:M127"/>
    <mergeCell ref="N126:N127"/>
    <mergeCell ref="O126:O127"/>
    <mergeCell ref="A126:A127"/>
    <mergeCell ref="B126:D127"/>
    <mergeCell ref="E126:E127"/>
    <mergeCell ref="F126:F127"/>
    <mergeCell ref="G126:H127"/>
    <mergeCell ref="I126:I127"/>
    <mergeCell ref="K128:K129"/>
    <mergeCell ref="L128:L129"/>
    <mergeCell ref="M128:M129"/>
    <mergeCell ref="N128:N129"/>
    <mergeCell ref="O128:O129"/>
    <mergeCell ref="I128:J129"/>
    <mergeCell ref="A128:A129"/>
    <mergeCell ref="B128:D129"/>
    <mergeCell ref="E128:E129"/>
    <mergeCell ref="F128:F129"/>
    <mergeCell ref="G128:H129"/>
    <mergeCell ref="J130:J131"/>
    <mergeCell ref="K130:K131"/>
    <mergeCell ref="L130:L131"/>
    <mergeCell ref="M130:M131"/>
    <mergeCell ref="N130:N131"/>
    <mergeCell ref="O130:O131"/>
    <mergeCell ref="A130:A131"/>
    <mergeCell ref="B130:D131"/>
    <mergeCell ref="E130:E131"/>
    <mergeCell ref="F130:F131"/>
    <mergeCell ref="G130:H131"/>
    <mergeCell ref="I130:I131"/>
    <mergeCell ref="J132:J133"/>
    <mergeCell ref="K132:K133"/>
    <mergeCell ref="L132:L133"/>
    <mergeCell ref="M132:M133"/>
    <mergeCell ref="N132:N133"/>
    <mergeCell ref="O132:O133"/>
    <mergeCell ref="A132:A133"/>
    <mergeCell ref="B132:D133"/>
    <mergeCell ref="E132:E133"/>
    <mergeCell ref="F132:F133"/>
    <mergeCell ref="G132:H133"/>
    <mergeCell ref="I132:I133"/>
    <mergeCell ref="J134:J135"/>
    <mergeCell ref="K134:K135"/>
    <mergeCell ref="L134:L135"/>
    <mergeCell ref="M134:M135"/>
    <mergeCell ref="N134:N135"/>
    <mergeCell ref="O134:O135"/>
    <mergeCell ref="A134:A135"/>
    <mergeCell ref="B134:D135"/>
    <mergeCell ref="E134:E135"/>
    <mergeCell ref="F134:F135"/>
    <mergeCell ref="G134:H135"/>
    <mergeCell ref="I134:I135"/>
    <mergeCell ref="K136:K137"/>
    <mergeCell ref="L136:L137"/>
    <mergeCell ref="M136:M137"/>
    <mergeCell ref="N136:N137"/>
    <mergeCell ref="O136:O137"/>
    <mergeCell ref="I136:J137"/>
    <mergeCell ref="A136:A137"/>
    <mergeCell ref="B136:D137"/>
    <mergeCell ref="E136:E137"/>
    <mergeCell ref="F136:F137"/>
    <mergeCell ref="G136:H137"/>
    <mergeCell ref="J138:J139"/>
    <mergeCell ref="K138:K139"/>
    <mergeCell ref="L138:L139"/>
    <mergeCell ref="M138:M139"/>
    <mergeCell ref="N138:N139"/>
    <mergeCell ref="O138:O139"/>
    <mergeCell ref="A138:A139"/>
    <mergeCell ref="B138:D139"/>
    <mergeCell ref="E138:E139"/>
    <mergeCell ref="F138:F139"/>
    <mergeCell ref="G138:H139"/>
    <mergeCell ref="I138:I139"/>
    <mergeCell ref="J140:J141"/>
    <mergeCell ref="K140:K141"/>
    <mergeCell ref="L140:L141"/>
    <mergeCell ref="M140:M141"/>
    <mergeCell ref="N140:N141"/>
    <mergeCell ref="O140:O141"/>
    <mergeCell ref="A140:A141"/>
    <mergeCell ref="B140:D141"/>
    <mergeCell ref="E140:E141"/>
    <mergeCell ref="F140:F141"/>
    <mergeCell ref="G140:H141"/>
    <mergeCell ref="I140:I141"/>
    <mergeCell ref="J142:J143"/>
    <mergeCell ref="K142:K143"/>
    <mergeCell ref="L142:L143"/>
    <mergeCell ref="M142:M143"/>
    <mergeCell ref="N142:N143"/>
    <mergeCell ref="O142:O143"/>
    <mergeCell ref="A142:A143"/>
    <mergeCell ref="B142:D143"/>
    <mergeCell ref="E142:E143"/>
    <mergeCell ref="F142:F143"/>
    <mergeCell ref="G142:H143"/>
    <mergeCell ref="I142:I143"/>
  </mergeCells>
  <phoneticPr fontId="13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BA03-10FF-447E-A393-9B0D26BB7906}">
  <sheetPr>
    <tabColor theme="9" tint="-0.249977111117893"/>
  </sheetPr>
  <dimension ref="A1:K73"/>
  <sheetViews>
    <sheetView workbookViewId="0">
      <selection sqref="A1:H1"/>
    </sheetView>
  </sheetViews>
  <sheetFormatPr baseColWidth="10" defaultRowHeight="14.4" x14ac:dyDescent="0.3"/>
  <sheetData>
    <row r="1" spans="1:8" x14ac:dyDescent="0.3">
      <c r="A1" s="300" t="s">
        <v>81</v>
      </c>
      <c r="B1" s="300"/>
      <c r="C1" s="300"/>
      <c r="D1" s="300"/>
      <c r="E1" s="300"/>
      <c r="F1" s="300"/>
      <c r="G1" s="300"/>
      <c r="H1" s="300"/>
    </row>
    <row r="7" spans="1:8" x14ac:dyDescent="0.3">
      <c r="A7" t="s">
        <v>82</v>
      </c>
    </row>
    <row r="16" spans="1:8" ht="21" x14ac:dyDescent="0.4">
      <c r="A16" s="7" t="s">
        <v>83</v>
      </c>
    </row>
    <row r="20" spans="8:8" x14ac:dyDescent="0.3">
      <c r="H20" t="s">
        <v>84</v>
      </c>
    </row>
    <row r="23" spans="8:8" x14ac:dyDescent="0.3">
      <c r="H23" t="s">
        <v>85</v>
      </c>
    </row>
    <row r="35" spans="8:11" x14ac:dyDescent="0.3">
      <c r="H35" t="s">
        <v>86</v>
      </c>
    </row>
    <row r="40" spans="8:11" x14ac:dyDescent="0.3">
      <c r="K40" t="s">
        <v>87</v>
      </c>
    </row>
    <row r="45" spans="8:11" x14ac:dyDescent="0.3">
      <c r="H45" t="s">
        <v>88</v>
      </c>
    </row>
    <row r="51" spans="5:7" x14ac:dyDescent="0.3">
      <c r="G51" t="s">
        <v>89</v>
      </c>
    </row>
    <row r="56" spans="5:7" x14ac:dyDescent="0.3">
      <c r="F56" t="s">
        <v>90</v>
      </c>
    </row>
    <row r="60" spans="5:7" x14ac:dyDescent="0.3">
      <c r="F60" t="s">
        <v>91</v>
      </c>
    </row>
    <row r="64" spans="5:7" x14ac:dyDescent="0.3">
      <c r="E64" t="s">
        <v>92</v>
      </c>
    </row>
    <row r="69" spans="6:6" x14ac:dyDescent="0.3">
      <c r="F69" t="s">
        <v>93</v>
      </c>
    </row>
    <row r="73" spans="6:6" x14ac:dyDescent="0.3">
      <c r="F73" t="s">
        <v>94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EF39-4EB9-4B7E-B6F5-9974B6705AED}">
  <sheetPr>
    <tabColor theme="9" tint="-0.249977111117893"/>
  </sheetPr>
  <dimension ref="A12:Q147"/>
  <sheetViews>
    <sheetView zoomScale="150" zoomScaleNormal="150" workbookViewId="0">
      <selection activeCell="H52" sqref="H52"/>
    </sheetView>
  </sheetViews>
  <sheetFormatPr baseColWidth="10" defaultRowHeight="14.4" x14ac:dyDescent="0.3"/>
  <cols>
    <col min="1" max="1" width="15.109375" customWidth="1"/>
    <col min="2" max="2" width="21.44140625" customWidth="1"/>
    <col min="4" max="4" width="21.5546875" customWidth="1"/>
    <col min="9" max="9" width="12.5546875" bestFit="1" customWidth="1"/>
    <col min="10" max="10" width="15.6640625" customWidth="1"/>
    <col min="11" max="11" width="19.33203125" customWidth="1"/>
    <col min="13" max="13" width="18.33203125" customWidth="1"/>
    <col min="14" max="14" width="20.5546875" bestFit="1" customWidth="1"/>
  </cols>
  <sheetData>
    <row r="12" spans="1:8" x14ac:dyDescent="0.3">
      <c r="B12" s="19"/>
    </row>
    <row r="13" spans="1:8" ht="14.4" customHeight="1" x14ac:dyDescent="0.3">
      <c r="A13" s="1" t="s">
        <v>0</v>
      </c>
      <c r="B13" s="1"/>
      <c r="C13" s="1"/>
      <c r="F13" s="301" t="s">
        <v>195</v>
      </c>
      <c r="G13" s="301"/>
      <c r="H13" s="301"/>
    </row>
    <row r="14" spans="1:8" x14ac:dyDescent="0.3">
      <c r="A14" s="16" t="s">
        <v>1</v>
      </c>
      <c r="B14" s="79"/>
      <c r="C14" s="1" t="s">
        <v>2</v>
      </c>
      <c r="D14" s="67" t="s">
        <v>21</v>
      </c>
      <c r="F14" s="301"/>
      <c r="G14" s="301"/>
      <c r="H14" s="301"/>
    </row>
    <row r="15" spans="1:8" ht="14.4" customHeight="1" x14ac:dyDescent="0.3">
      <c r="A15" s="16" t="s">
        <v>3</v>
      </c>
      <c r="B15" s="86"/>
      <c r="C15" s="1" t="s">
        <v>2</v>
      </c>
      <c r="D15" s="288" t="s">
        <v>186</v>
      </c>
      <c r="F15" s="301"/>
      <c r="G15" s="301"/>
      <c r="H15" s="301"/>
    </row>
    <row r="16" spans="1:8" x14ac:dyDescent="0.3">
      <c r="A16" s="16" t="s">
        <v>4</v>
      </c>
      <c r="B16" s="86"/>
      <c r="C16" s="1" t="s">
        <v>2</v>
      </c>
      <c r="D16" s="288"/>
      <c r="F16" s="301"/>
      <c r="G16" s="301"/>
      <c r="H16" s="301"/>
    </row>
    <row r="17" spans="1:8" x14ac:dyDescent="0.3">
      <c r="A17" s="16" t="s">
        <v>5</v>
      </c>
      <c r="B17" s="75"/>
      <c r="C17" s="1" t="s">
        <v>9</v>
      </c>
      <c r="D17" s="288"/>
      <c r="F17" s="301"/>
      <c r="G17" s="301"/>
      <c r="H17" s="301"/>
    </row>
    <row r="18" spans="1:8" x14ac:dyDescent="0.3">
      <c r="A18" s="16" t="s">
        <v>6</v>
      </c>
      <c r="B18" s="75"/>
      <c r="C18" s="1" t="s">
        <v>9</v>
      </c>
      <c r="D18" s="288"/>
      <c r="F18" s="301"/>
      <c r="G18" s="301"/>
      <c r="H18" s="301"/>
    </row>
    <row r="19" spans="1:8" x14ac:dyDescent="0.3">
      <c r="A19" s="16" t="s">
        <v>7</v>
      </c>
      <c r="B19" s="85"/>
      <c r="C19" s="1" t="s">
        <v>8</v>
      </c>
      <c r="D19" s="2" t="s">
        <v>10</v>
      </c>
      <c r="F19" s="301"/>
      <c r="G19" s="301"/>
      <c r="H19" s="301"/>
    </row>
    <row r="20" spans="1:8" x14ac:dyDescent="0.3">
      <c r="A20" s="16" t="s">
        <v>11</v>
      </c>
      <c r="B20" s="126"/>
      <c r="C20" s="1" t="s">
        <v>14</v>
      </c>
      <c r="F20" s="301"/>
      <c r="G20" s="301"/>
      <c r="H20" s="301"/>
    </row>
    <row r="21" spans="1:8" x14ac:dyDescent="0.3">
      <c r="A21" s="16" t="s">
        <v>12</v>
      </c>
      <c r="B21" s="87"/>
      <c r="C21" s="1" t="s">
        <v>14</v>
      </c>
      <c r="F21" s="301"/>
      <c r="G21" s="301"/>
      <c r="H21" s="301"/>
    </row>
    <row r="22" spans="1:8" x14ac:dyDescent="0.3">
      <c r="A22" s="16" t="s">
        <v>13</v>
      </c>
      <c r="B22" s="87"/>
      <c r="C22" s="1" t="s">
        <v>14</v>
      </c>
      <c r="F22" s="301"/>
      <c r="G22" s="301"/>
      <c r="H22" s="301"/>
    </row>
    <row r="25" spans="1:8" x14ac:dyDescent="0.3">
      <c r="A25" s="16" t="s">
        <v>15</v>
      </c>
      <c r="B25" s="120"/>
      <c r="C25" s="1" t="s">
        <v>16</v>
      </c>
      <c r="D25" s="288" t="s">
        <v>203</v>
      </c>
      <c r="E25" s="288"/>
      <c r="F25" s="288"/>
    </row>
    <row r="26" spans="1:8" x14ac:dyDescent="0.3">
      <c r="A26" s="16" t="s">
        <v>17</v>
      </c>
      <c r="B26" s="121"/>
      <c r="C26" s="1" t="s">
        <v>14</v>
      </c>
      <c r="D26" s="288"/>
      <c r="E26" s="288"/>
      <c r="F26" s="288"/>
    </row>
    <row r="27" spans="1:8" x14ac:dyDescent="0.3">
      <c r="A27" s="16" t="s">
        <v>18</v>
      </c>
      <c r="B27" s="121">
        <v>20</v>
      </c>
      <c r="C27" s="1" t="s">
        <v>14</v>
      </c>
    </row>
    <row r="30" spans="1:8" x14ac:dyDescent="0.3">
      <c r="A30" s="18" t="s">
        <v>22</v>
      </c>
      <c r="B30" s="66" t="e">
        <f>(((B14-B15)/(B16-B15))*(B18-B17))+B17</f>
        <v>#DIV/0!</v>
      </c>
      <c r="C30" t="s">
        <v>9</v>
      </c>
    </row>
    <row r="31" spans="1:8" x14ac:dyDescent="0.3">
      <c r="A31" s="18" t="s">
        <v>23</v>
      </c>
      <c r="B31" s="66">
        <f>1+B19*(B20-20)</f>
        <v>1</v>
      </c>
    </row>
    <row r="32" spans="1:8" x14ac:dyDescent="0.3">
      <c r="A32" s="18" t="s">
        <v>24</v>
      </c>
      <c r="B32" s="66" t="e">
        <f>C75/C76</f>
        <v>#DIV/0!</v>
      </c>
    </row>
    <row r="50" spans="2:8" x14ac:dyDescent="0.3">
      <c r="B50" s="289" t="s">
        <v>25</v>
      </c>
      <c r="C50" s="289"/>
      <c r="G50" s="18" t="s">
        <v>184</v>
      </c>
      <c r="H50" s="66"/>
    </row>
    <row r="51" spans="2:8" x14ac:dyDescent="0.3">
      <c r="B51" s="82" t="s">
        <v>185</v>
      </c>
      <c r="C51" s="82">
        <v>1</v>
      </c>
      <c r="G51" s="18" t="s">
        <v>28</v>
      </c>
      <c r="H51" s="66"/>
    </row>
    <row r="52" spans="2:8" x14ac:dyDescent="0.3">
      <c r="B52" s="83" t="s">
        <v>26</v>
      </c>
      <c r="C52" s="66" t="e">
        <f>((H50/(B25^2))+(H51/B25))</f>
        <v>#DIV/0!</v>
      </c>
    </row>
    <row r="53" spans="2:8" x14ac:dyDescent="0.3">
      <c r="B53" s="83" t="s">
        <v>27</v>
      </c>
      <c r="C53" s="66" t="e">
        <f>B25/EXP(-C52*(B26-15)*(1+0.8*C52*(B26-15)))</f>
        <v>#DIV/0!</v>
      </c>
    </row>
    <row r="55" spans="2:8" x14ac:dyDescent="0.3">
      <c r="B55" s="82" t="s">
        <v>185</v>
      </c>
      <c r="C55" s="82">
        <v>2</v>
      </c>
    </row>
    <row r="56" spans="2:8" x14ac:dyDescent="0.3">
      <c r="B56" s="83" t="s">
        <v>26</v>
      </c>
      <c r="C56" s="66" t="e">
        <f>((H50/(C53^2))+(H51/C53))</f>
        <v>#DIV/0!</v>
      </c>
    </row>
    <row r="57" spans="2:8" x14ac:dyDescent="0.3">
      <c r="B57" s="83" t="s">
        <v>27</v>
      </c>
      <c r="C57" s="66" t="e">
        <f>B25/EXP(-C56*(B26-15)*(1+0.8*C56*(B26-15)))</f>
        <v>#DIV/0!</v>
      </c>
    </row>
    <row r="60" spans="2:8" x14ac:dyDescent="0.3">
      <c r="B60" s="82" t="s">
        <v>185</v>
      </c>
      <c r="C60" s="82">
        <v>3</v>
      </c>
    </row>
    <row r="61" spans="2:8" x14ac:dyDescent="0.3">
      <c r="B61" s="83" t="s">
        <v>26</v>
      </c>
      <c r="C61" s="66" t="e">
        <f>((H50/(C57^2))+(H51/C57))</f>
        <v>#DIV/0!</v>
      </c>
    </row>
    <row r="62" spans="2:8" x14ac:dyDescent="0.3">
      <c r="B62" s="83" t="s">
        <v>27</v>
      </c>
      <c r="C62" s="88" t="e">
        <f>B25/EXP(-C61*(B26-15)*(1+0.8*C61*(B26-15)))</f>
        <v>#DIV/0!</v>
      </c>
    </row>
    <row r="65" spans="2:11" x14ac:dyDescent="0.3">
      <c r="B65" s="82" t="s">
        <v>185</v>
      </c>
      <c r="C65" s="82">
        <v>4</v>
      </c>
    </row>
    <row r="66" spans="2:11" x14ac:dyDescent="0.3">
      <c r="B66" s="83" t="s">
        <v>26</v>
      </c>
      <c r="C66" s="66" t="e">
        <f>((H50/(C62^2))+(H51/C62))</f>
        <v>#DIV/0!</v>
      </c>
    </row>
    <row r="67" spans="2:11" x14ac:dyDescent="0.3">
      <c r="B67" s="83" t="s">
        <v>27</v>
      </c>
      <c r="C67" s="88" t="e">
        <f>B25/EXP(-C66*(B26-15)*(1+0.8*C66*(B26-15)))</f>
        <v>#DIV/0!</v>
      </c>
    </row>
    <row r="70" spans="2:11" x14ac:dyDescent="0.3">
      <c r="B70" s="82" t="s">
        <v>185</v>
      </c>
      <c r="C70" s="82">
        <v>5</v>
      </c>
      <c r="K70" s="8"/>
    </row>
    <row r="71" spans="2:11" x14ac:dyDescent="0.3">
      <c r="B71" s="83" t="s">
        <v>26</v>
      </c>
      <c r="C71" s="66" t="e">
        <f>((H50/(C67^2))+(H51/C67))</f>
        <v>#DIV/0!</v>
      </c>
    </row>
    <row r="72" spans="2:11" x14ac:dyDescent="0.3">
      <c r="B72" s="83" t="s">
        <v>27</v>
      </c>
      <c r="C72" s="88" t="e">
        <f>B25/EXP(-C71*(B26-15)*(1+0.8*C71*(B26-15)))</f>
        <v>#DIV/0!</v>
      </c>
    </row>
    <row r="73" spans="2:11" x14ac:dyDescent="0.3">
      <c r="B73" s="83" t="s">
        <v>123</v>
      </c>
      <c r="C73" s="66" t="e">
        <f>H50/C76^2+H51/C76</f>
        <v>#DIV/0!</v>
      </c>
      <c r="D73" t="s">
        <v>8</v>
      </c>
    </row>
    <row r="75" spans="2:11" x14ac:dyDescent="0.3">
      <c r="B75" s="82" t="s">
        <v>205</v>
      </c>
      <c r="C75" s="66" t="e">
        <f>C72*EXP(-C71*(B20-15)*(1+0.8*C71*(B20-15)))</f>
        <v>#DIV/0!</v>
      </c>
      <c r="D75" s="1" t="s">
        <v>16</v>
      </c>
      <c r="E75" t="s">
        <v>29</v>
      </c>
    </row>
    <row r="76" spans="2:11" x14ac:dyDescent="0.3">
      <c r="B76" s="82" t="s">
        <v>19</v>
      </c>
      <c r="C76" s="66" t="e">
        <f>C72*EXP(-C71*(20-15)*(1+0.8*C71*(20-15)))</f>
        <v>#DIV/0!</v>
      </c>
      <c r="D76" s="1" t="s">
        <v>16</v>
      </c>
    </row>
    <row r="78" spans="2:11" x14ac:dyDescent="0.3">
      <c r="B78" s="82" t="s">
        <v>24</v>
      </c>
      <c r="C78" s="66" t="e">
        <f>C75/C76</f>
        <v>#DIV/0!</v>
      </c>
    </row>
    <row r="82" spans="1:15" x14ac:dyDescent="0.3">
      <c r="B82" s="290" t="s">
        <v>31</v>
      </c>
      <c r="C82" s="291"/>
      <c r="D82" s="292"/>
    </row>
    <row r="83" spans="1:15" x14ac:dyDescent="0.3">
      <c r="B83" s="82" t="s">
        <v>20</v>
      </c>
      <c r="C83" s="66" t="e">
        <f>B30*B31*C78</f>
        <v>#DIV/0!</v>
      </c>
      <c r="D83" t="s">
        <v>9</v>
      </c>
      <c r="E83" t="s">
        <v>30</v>
      </c>
    </row>
    <row r="85" spans="1:15" ht="14.4" customHeight="1" x14ac:dyDescent="0.3">
      <c r="A85" s="298" t="s">
        <v>32</v>
      </c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8"/>
    </row>
    <row r="86" spans="1:15" ht="14.4" customHeight="1" x14ac:dyDescent="0.3">
      <c r="A86" s="298"/>
      <c r="B86" s="298"/>
      <c r="C86" s="298"/>
      <c r="D86" s="298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</row>
    <row r="87" spans="1:15" ht="14.4" customHeight="1" x14ac:dyDescent="0.3">
      <c r="A87" s="298"/>
      <c r="B87" s="298"/>
      <c r="C87" s="298"/>
      <c r="D87" s="298"/>
      <c r="E87" s="298"/>
      <c r="F87" s="298"/>
      <c r="G87" s="298"/>
      <c r="H87" s="298"/>
      <c r="I87" s="298"/>
      <c r="J87" s="298"/>
      <c r="K87" s="298"/>
      <c r="L87" s="298"/>
      <c r="M87" s="298"/>
      <c r="N87" s="298"/>
      <c r="O87" s="298"/>
    </row>
    <row r="88" spans="1:15" ht="14.4" customHeight="1" x14ac:dyDescent="0.3">
      <c r="A88" s="298"/>
      <c r="B88" s="298"/>
      <c r="C88" s="298"/>
      <c r="D88" s="298"/>
      <c r="E88" s="298"/>
      <c r="F88" s="298"/>
      <c r="G88" s="298"/>
      <c r="H88" s="298"/>
      <c r="I88" s="298"/>
      <c r="J88" s="298"/>
      <c r="K88" s="298"/>
      <c r="L88" s="298"/>
      <c r="M88" s="298"/>
      <c r="N88" s="298"/>
      <c r="O88" s="298"/>
    </row>
    <row r="89" spans="1:15" ht="18.600000000000001" thickBot="1" x14ac:dyDescent="0.4">
      <c r="A89" s="260" t="s">
        <v>45</v>
      </c>
      <c r="B89" s="260"/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</row>
    <row r="90" spans="1:15" ht="15" thickBot="1" x14ac:dyDescent="0.35">
      <c r="A90" s="5"/>
      <c r="B90" s="5"/>
      <c r="C90" s="5"/>
      <c r="D90" s="5"/>
      <c r="E90" s="5"/>
      <c r="F90" s="5"/>
      <c r="G90" s="5"/>
      <c r="H90" s="5"/>
      <c r="I90" s="261" t="s">
        <v>46</v>
      </c>
      <c r="J90" s="262"/>
      <c r="K90" s="5"/>
      <c r="L90" s="5"/>
      <c r="M90" s="5"/>
      <c r="N90" s="5"/>
      <c r="O90" s="5"/>
    </row>
    <row r="91" spans="1:15" ht="29.4" thickBot="1" x14ac:dyDescent="0.35">
      <c r="A91" s="3" t="s">
        <v>33</v>
      </c>
      <c r="B91" s="295" t="s">
        <v>34</v>
      </c>
      <c r="C91" s="296"/>
      <c r="D91" s="297"/>
      <c r="E91" s="3" t="s">
        <v>35</v>
      </c>
      <c r="F91" s="3" t="s">
        <v>36</v>
      </c>
      <c r="G91" s="295" t="s">
        <v>37</v>
      </c>
      <c r="H91" s="297"/>
      <c r="I91" s="3" t="s">
        <v>38</v>
      </c>
      <c r="J91" s="3" t="s">
        <v>39</v>
      </c>
      <c r="K91" s="3" t="s">
        <v>40</v>
      </c>
      <c r="L91" s="3" t="s">
        <v>41</v>
      </c>
      <c r="M91" s="3" t="s">
        <v>42</v>
      </c>
      <c r="N91" s="3" t="s">
        <v>43</v>
      </c>
      <c r="O91" s="4" t="s">
        <v>44</v>
      </c>
    </row>
    <row r="92" spans="1:15" x14ac:dyDescent="0.3">
      <c r="A92" s="184">
        <v>1</v>
      </c>
      <c r="B92" s="196" t="s">
        <v>187</v>
      </c>
      <c r="C92" s="186"/>
      <c r="D92" s="197"/>
      <c r="E92" s="269">
        <f>B14</f>
        <v>0</v>
      </c>
      <c r="F92" s="184" t="s">
        <v>2</v>
      </c>
      <c r="G92" s="238" t="s">
        <v>188</v>
      </c>
      <c r="H92" s="240"/>
      <c r="I92" s="263" t="s">
        <v>50</v>
      </c>
      <c r="J92" s="264"/>
      <c r="K92" s="188">
        <f>SQRT(N94+N96+N98)</f>
        <v>9.8952850725315977E-4</v>
      </c>
      <c r="L92" s="200" t="e">
        <f>((1/(B16-B15))*(B18-B17))*C78*B31</f>
        <v>#DIV/0!</v>
      </c>
      <c r="M92" s="293" t="e">
        <f>K92*L92</f>
        <v>#DIV/0!</v>
      </c>
      <c r="N92" s="202" t="e">
        <f>M92^2</f>
        <v>#DIV/0!</v>
      </c>
      <c r="O92" s="190" t="e">
        <f>N92/$N$144</f>
        <v>#DIV/0!</v>
      </c>
    </row>
    <row r="93" spans="1:15" ht="15" thickBot="1" x14ac:dyDescent="0.35">
      <c r="A93" s="185"/>
      <c r="B93" s="198"/>
      <c r="C93" s="187"/>
      <c r="D93" s="199"/>
      <c r="E93" s="272"/>
      <c r="F93" s="185"/>
      <c r="G93" s="241"/>
      <c r="H93" s="243"/>
      <c r="I93" s="265"/>
      <c r="J93" s="266"/>
      <c r="K93" s="189"/>
      <c r="L93" s="201"/>
      <c r="M93" s="294"/>
      <c r="N93" s="203"/>
      <c r="O93" s="191"/>
    </row>
    <row r="94" spans="1:15" ht="14.4" customHeight="1" x14ac:dyDescent="0.3">
      <c r="A94" s="277">
        <v>1.1000000000000001</v>
      </c>
      <c r="B94" s="279" t="s">
        <v>189</v>
      </c>
      <c r="C94" s="275"/>
      <c r="D94" s="264"/>
      <c r="E94" s="277"/>
      <c r="F94" s="277" t="s">
        <v>2</v>
      </c>
      <c r="G94" s="279" t="s">
        <v>204</v>
      </c>
      <c r="H94" s="264"/>
      <c r="I94" s="280">
        <v>1.5E-3</v>
      </c>
      <c r="J94" s="275" t="s">
        <v>53</v>
      </c>
      <c r="K94" s="277">
        <f>I94/2</f>
        <v>7.5000000000000002E-4</v>
      </c>
      <c r="L94" s="277">
        <v>1</v>
      </c>
      <c r="M94" s="275">
        <f>L94*K94</f>
        <v>7.5000000000000002E-4</v>
      </c>
      <c r="N94" s="277">
        <f>M94^2</f>
        <v>5.6250000000000001E-7</v>
      </c>
      <c r="O94" s="277"/>
    </row>
    <row r="95" spans="1:15" ht="15" thickBot="1" x14ac:dyDescent="0.35">
      <c r="A95" s="278"/>
      <c r="B95" s="265"/>
      <c r="C95" s="276"/>
      <c r="D95" s="266"/>
      <c r="E95" s="278"/>
      <c r="F95" s="278"/>
      <c r="G95" s="265"/>
      <c r="H95" s="266"/>
      <c r="I95" s="281"/>
      <c r="J95" s="276"/>
      <c r="K95" s="278"/>
      <c r="L95" s="278"/>
      <c r="M95" s="276"/>
      <c r="N95" s="278"/>
      <c r="O95" s="278"/>
    </row>
    <row r="96" spans="1:15" x14ac:dyDescent="0.3">
      <c r="A96" s="277">
        <v>1.2</v>
      </c>
      <c r="B96" s="279" t="s">
        <v>48</v>
      </c>
      <c r="C96" s="275"/>
      <c r="D96" s="264"/>
      <c r="E96" s="277"/>
      <c r="F96" s="277" t="s">
        <v>2</v>
      </c>
      <c r="G96" s="279" t="s">
        <v>51</v>
      </c>
      <c r="H96" s="264"/>
      <c r="I96" s="280">
        <v>1E-3</v>
      </c>
      <c r="J96" s="275" t="s">
        <v>137</v>
      </c>
      <c r="K96" s="282">
        <f>I96/SQRT(12)</f>
        <v>2.886751345948129E-4</v>
      </c>
      <c r="L96" s="277">
        <v>1</v>
      </c>
      <c r="M96" s="284">
        <f>L96*K96</f>
        <v>2.886751345948129E-4</v>
      </c>
      <c r="N96" s="286">
        <f>M96^2</f>
        <v>8.3333333333333338E-8</v>
      </c>
      <c r="O96" s="277"/>
    </row>
    <row r="97" spans="1:15" ht="15" thickBot="1" x14ac:dyDescent="0.35">
      <c r="A97" s="278"/>
      <c r="B97" s="265"/>
      <c r="C97" s="276"/>
      <c r="D97" s="266"/>
      <c r="E97" s="278"/>
      <c r="F97" s="278"/>
      <c r="G97" s="265"/>
      <c r="H97" s="266"/>
      <c r="I97" s="281"/>
      <c r="J97" s="276"/>
      <c r="K97" s="283"/>
      <c r="L97" s="278"/>
      <c r="M97" s="285"/>
      <c r="N97" s="287"/>
      <c r="O97" s="278"/>
    </row>
    <row r="98" spans="1:15" x14ac:dyDescent="0.3">
      <c r="A98" s="277">
        <v>1.3</v>
      </c>
      <c r="B98" s="279" t="s">
        <v>49</v>
      </c>
      <c r="C98" s="275"/>
      <c r="D98" s="264"/>
      <c r="E98" s="277"/>
      <c r="F98" s="277" t="s">
        <v>2</v>
      </c>
      <c r="G98" s="279" t="s">
        <v>52</v>
      </c>
      <c r="H98" s="264"/>
      <c r="I98" s="280">
        <v>2E-3</v>
      </c>
      <c r="J98" s="275" t="s">
        <v>137</v>
      </c>
      <c r="K98" s="277">
        <f>I98/SQRT(12)</f>
        <v>5.773502691896258E-4</v>
      </c>
      <c r="L98" s="277">
        <v>1</v>
      </c>
      <c r="M98" s="275">
        <f t="shared" ref="M98" si="0">L98*K98</f>
        <v>5.773502691896258E-4</v>
      </c>
      <c r="N98" s="277">
        <f t="shared" ref="N98" si="1">M98^2</f>
        <v>3.3333333333333335E-7</v>
      </c>
      <c r="O98" s="277"/>
    </row>
    <row r="99" spans="1:15" ht="15" thickBot="1" x14ac:dyDescent="0.35">
      <c r="A99" s="278"/>
      <c r="B99" s="265"/>
      <c r="C99" s="276"/>
      <c r="D99" s="266"/>
      <c r="E99" s="278"/>
      <c r="F99" s="278"/>
      <c r="G99" s="265"/>
      <c r="H99" s="266"/>
      <c r="I99" s="281"/>
      <c r="J99" s="276"/>
      <c r="K99" s="278"/>
      <c r="L99" s="278"/>
      <c r="M99" s="276"/>
      <c r="N99" s="278"/>
      <c r="O99" s="278"/>
    </row>
    <row r="100" spans="1:15" ht="14.4" customHeight="1" x14ac:dyDescent="0.3">
      <c r="A100" s="184">
        <v>2</v>
      </c>
      <c r="B100" s="196" t="s">
        <v>190</v>
      </c>
      <c r="C100" s="186"/>
      <c r="D100" s="197"/>
      <c r="E100" s="269">
        <f>B15</f>
        <v>0</v>
      </c>
      <c r="F100" s="184" t="s">
        <v>2</v>
      </c>
      <c r="G100" s="244" t="s">
        <v>201</v>
      </c>
      <c r="H100" s="245"/>
      <c r="I100" s="280">
        <f>0.071/1000</f>
        <v>7.0999999999999991E-5</v>
      </c>
      <c r="J100" s="186" t="s">
        <v>53</v>
      </c>
      <c r="K100" s="184">
        <f>I100/2</f>
        <v>3.5499999999999996E-5</v>
      </c>
      <c r="L100" s="269" t="e">
        <f>(((-1/(E102-E100))*(E106-E104))+(((E92-E100)/(E102-E100)^2)*(E106-E104)))*B31*B32</f>
        <v>#DIV/0!</v>
      </c>
      <c r="M100" s="273" t="e">
        <f>L100*K100</f>
        <v>#DIV/0!</v>
      </c>
      <c r="N100" s="234" t="e">
        <f>M100^2</f>
        <v>#DIV/0!</v>
      </c>
      <c r="O100" s="302" t="e">
        <f>N100/$N$144</f>
        <v>#DIV/0!</v>
      </c>
    </row>
    <row r="101" spans="1:15" ht="15" thickBot="1" x14ac:dyDescent="0.35">
      <c r="A101" s="185"/>
      <c r="B101" s="198"/>
      <c r="C101" s="187"/>
      <c r="D101" s="199"/>
      <c r="E101" s="185"/>
      <c r="F101" s="185"/>
      <c r="G101" s="246"/>
      <c r="H101" s="247"/>
      <c r="I101" s="281"/>
      <c r="J101" s="187"/>
      <c r="K101" s="185"/>
      <c r="L101" s="272"/>
      <c r="M101" s="274"/>
      <c r="N101" s="235"/>
      <c r="O101" s="303"/>
    </row>
    <row r="102" spans="1:15" ht="14.4" customHeight="1" x14ac:dyDescent="0.3">
      <c r="A102" s="184">
        <v>3</v>
      </c>
      <c r="B102" s="196" t="s">
        <v>54</v>
      </c>
      <c r="C102" s="186"/>
      <c r="D102" s="197"/>
      <c r="E102" s="269">
        <f>B16</f>
        <v>0</v>
      </c>
      <c r="F102" s="184" t="s">
        <v>2</v>
      </c>
      <c r="G102" s="244" t="s">
        <v>201</v>
      </c>
      <c r="H102" s="245"/>
      <c r="I102" s="280">
        <f>0.071/1000</f>
        <v>7.0999999999999991E-5</v>
      </c>
      <c r="J102" s="186" t="s">
        <v>53</v>
      </c>
      <c r="K102" s="184">
        <f>I102/2</f>
        <v>3.5499999999999996E-5</v>
      </c>
      <c r="L102" s="269" t="e">
        <f>(-((E92-E100)/(E102-E100)^2*(E106-E104))*B31*B32)</f>
        <v>#DIV/0!</v>
      </c>
      <c r="M102" s="273" t="e">
        <f>L102*K102</f>
        <v>#DIV/0!</v>
      </c>
      <c r="N102" s="234" t="e">
        <f>M102^2</f>
        <v>#DIV/0!</v>
      </c>
      <c r="O102" s="267" t="e">
        <f t="shared" ref="O102" si="2">N102/$N$144</f>
        <v>#DIV/0!</v>
      </c>
    </row>
    <row r="103" spans="1:15" ht="15" thickBot="1" x14ac:dyDescent="0.35">
      <c r="A103" s="185"/>
      <c r="B103" s="198"/>
      <c r="C103" s="187"/>
      <c r="D103" s="199"/>
      <c r="E103" s="185"/>
      <c r="F103" s="185"/>
      <c r="G103" s="246"/>
      <c r="H103" s="247"/>
      <c r="I103" s="281"/>
      <c r="J103" s="187"/>
      <c r="K103" s="185"/>
      <c r="L103" s="272"/>
      <c r="M103" s="274"/>
      <c r="N103" s="235"/>
      <c r="O103" s="268"/>
    </row>
    <row r="104" spans="1:15" x14ac:dyDescent="0.3">
      <c r="A104" s="184">
        <v>4</v>
      </c>
      <c r="B104" s="238" t="s">
        <v>55</v>
      </c>
      <c r="C104" s="239"/>
      <c r="D104" s="240"/>
      <c r="E104" s="184">
        <f>B17</f>
        <v>0</v>
      </c>
      <c r="F104" s="184" t="s">
        <v>9</v>
      </c>
      <c r="G104" s="244" t="s">
        <v>200</v>
      </c>
      <c r="H104" s="245"/>
      <c r="I104" s="248">
        <f>(0.12/100)*E104</f>
        <v>0</v>
      </c>
      <c r="J104" s="186" t="s">
        <v>53</v>
      </c>
      <c r="K104" s="184">
        <f>I104/2</f>
        <v>0</v>
      </c>
      <c r="L104" s="304" t="e">
        <f>(-((E92-E100)/(E102-E100))+1)*B31*B32</f>
        <v>#DIV/0!</v>
      </c>
      <c r="M104" s="232" t="e">
        <f>L104*K104</f>
        <v>#DIV/0!</v>
      </c>
      <c r="N104" s="234" t="e">
        <f>M104^2</f>
        <v>#DIV/0!</v>
      </c>
      <c r="O104" s="256" t="e">
        <f>N104/$N$144</f>
        <v>#DIV/0!</v>
      </c>
    </row>
    <row r="105" spans="1:15" ht="15" thickBot="1" x14ac:dyDescent="0.35">
      <c r="A105" s="185"/>
      <c r="B105" s="241"/>
      <c r="C105" s="242"/>
      <c r="D105" s="243"/>
      <c r="E105" s="185"/>
      <c r="F105" s="185"/>
      <c r="G105" s="246"/>
      <c r="H105" s="247"/>
      <c r="I105" s="249"/>
      <c r="J105" s="187"/>
      <c r="K105" s="185"/>
      <c r="L105" s="305"/>
      <c r="M105" s="233"/>
      <c r="N105" s="235"/>
      <c r="O105" s="257"/>
    </row>
    <row r="106" spans="1:15" ht="14.4" customHeight="1" x14ac:dyDescent="0.3">
      <c r="A106" s="184">
        <v>5</v>
      </c>
      <c r="B106" s="238" t="s">
        <v>56</v>
      </c>
      <c r="C106" s="239"/>
      <c r="D106" s="240"/>
      <c r="E106" s="184">
        <f>B18</f>
        <v>0</v>
      </c>
      <c r="F106" s="184" t="s">
        <v>9</v>
      </c>
      <c r="G106" s="244" t="s">
        <v>200</v>
      </c>
      <c r="H106" s="245"/>
      <c r="I106" s="248">
        <f>(0.12/100)*E106</f>
        <v>0</v>
      </c>
      <c r="J106" s="186" t="s">
        <v>53</v>
      </c>
      <c r="K106" s="184">
        <f>I106/2</f>
        <v>0</v>
      </c>
      <c r="L106" s="184" t="e">
        <f>((E92-E100)/(E102-E100))*B31*B32</f>
        <v>#DIV/0!</v>
      </c>
      <c r="M106" s="232" t="e">
        <f>L106*K106</f>
        <v>#DIV/0!</v>
      </c>
      <c r="N106" s="234" t="e">
        <f>M106^2</f>
        <v>#DIV/0!</v>
      </c>
      <c r="O106" s="256" t="e">
        <f t="shared" ref="O106" si="3">N106/$N$144</f>
        <v>#DIV/0!</v>
      </c>
    </row>
    <row r="107" spans="1:15" ht="15" thickBot="1" x14ac:dyDescent="0.35">
      <c r="A107" s="185"/>
      <c r="B107" s="241"/>
      <c r="C107" s="242"/>
      <c r="D107" s="243"/>
      <c r="E107" s="185"/>
      <c r="F107" s="185"/>
      <c r="G107" s="246"/>
      <c r="H107" s="247"/>
      <c r="I107" s="249"/>
      <c r="J107" s="187"/>
      <c r="K107" s="185"/>
      <c r="L107" s="185"/>
      <c r="M107" s="233"/>
      <c r="N107" s="235"/>
      <c r="O107" s="257"/>
    </row>
    <row r="108" spans="1:15" x14ac:dyDescent="0.3">
      <c r="A108" s="184">
        <v>6</v>
      </c>
      <c r="B108" s="196" t="s">
        <v>208</v>
      </c>
      <c r="C108" s="186"/>
      <c r="D108" s="197"/>
      <c r="E108" s="184">
        <f>B19</f>
        <v>0</v>
      </c>
      <c r="F108" s="184" t="s">
        <v>8</v>
      </c>
      <c r="G108" s="196" t="s">
        <v>57</v>
      </c>
      <c r="H108" s="197"/>
      <c r="I108" s="252">
        <f>E108*0.1</f>
        <v>0</v>
      </c>
      <c r="J108" s="186" t="s">
        <v>137</v>
      </c>
      <c r="K108" s="250">
        <f>I108/SQRT(12)</f>
        <v>0</v>
      </c>
      <c r="L108" s="184" t="e">
        <f>B30*(E110-20)*C78</f>
        <v>#DIV/0!</v>
      </c>
      <c r="M108" s="234" t="e">
        <f>L108*K108</f>
        <v>#DIV/0!</v>
      </c>
      <c r="N108" s="234" t="e">
        <f>M108^2</f>
        <v>#DIV/0!</v>
      </c>
      <c r="O108" s="230" t="e">
        <f>N108/$N$144</f>
        <v>#DIV/0!</v>
      </c>
    </row>
    <row r="109" spans="1:15" ht="15" thickBot="1" x14ac:dyDescent="0.35">
      <c r="A109" s="185"/>
      <c r="B109" s="198"/>
      <c r="C109" s="187"/>
      <c r="D109" s="199"/>
      <c r="E109" s="185"/>
      <c r="F109" s="185"/>
      <c r="G109" s="198"/>
      <c r="H109" s="199"/>
      <c r="I109" s="253"/>
      <c r="J109" s="187"/>
      <c r="K109" s="251"/>
      <c r="L109" s="185"/>
      <c r="M109" s="235"/>
      <c r="N109" s="235"/>
      <c r="O109" s="231"/>
    </row>
    <row r="110" spans="1:15" x14ac:dyDescent="0.3">
      <c r="A110" s="184">
        <v>7</v>
      </c>
      <c r="B110" s="196" t="s">
        <v>58</v>
      </c>
      <c r="C110" s="186"/>
      <c r="D110" s="197"/>
      <c r="E110" s="184">
        <f>B20</f>
        <v>0</v>
      </c>
      <c r="F110" s="184" t="s">
        <v>14</v>
      </c>
      <c r="G110" s="238" t="s">
        <v>191</v>
      </c>
      <c r="H110" s="240"/>
      <c r="I110" s="168" t="s">
        <v>61</v>
      </c>
      <c r="J110" s="169"/>
      <c r="K110" s="236">
        <f>SQRT(N112+N120)</f>
        <v>0.10218957057025602</v>
      </c>
      <c r="L110" s="202" t="e">
        <f>E108*B30*C78</f>
        <v>#DIV/0!</v>
      </c>
      <c r="M110" s="232" t="e">
        <f>L110*K110</f>
        <v>#DIV/0!</v>
      </c>
      <c r="N110" s="234" t="e">
        <f>M110^2</f>
        <v>#DIV/0!</v>
      </c>
      <c r="O110" s="230" t="e">
        <f t="shared" ref="O110" si="4">N110/$N$144</f>
        <v>#DIV/0!</v>
      </c>
    </row>
    <row r="111" spans="1:15" ht="15" thickBot="1" x14ac:dyDescent="0.35">
      <c r="A111" s="185"/>
      <c r="B111" s="198"/>
      <c r="C111" s="187"/>
      <c r="D111" s="199"/>
      <c r="E111" s="185"/>
      <c r="F111" s="185"/>
      <c r="G111" s="241"/>
      <c r="H111" s="243"/>
      <c r="I111" s="170"/>
      <c r="J111" s="171"/>
      <c r="K111" s="237"/>
      <c r="L111" s="203"/>
      <c r="M111" s="233"/>
      <c r="N111" s="235"/>
      <c r="O111" s="231"/>
    </row>
    <row r="112" spans="1:15" x14ac:dyDescent="0.3">
      <c r="A112" s="162">
        <v>7.1</v>
      </c>
      <c r="B112" s="168" t="s">
        <v>59</v>
      </c>
      <c r="C112" s="158"/>
      <c r="D112" s="169"/>
      <c r="E112" s="162">
        <f>B21</f>
        <v>0</v>
      </c>
      <c r="F112" s="162" t="s">
        <v>14</v>
      </c>
      <c r="G112" s="168" t="s">
        <v>66</v>
      </c>
      <c r="H112" s="169"/>
      <c r="I112" s="222" t="s">
        <v>64</v>
      </c>
      <c r="J112" s="223"/>
      <c r="K112" s="218">
        <f>SQRT(N114+N116+N118)</f>
        <v>0.10408329997330665</v>
      </c>
      <c r="L112" s="162">
        <f>7/8</f>
        <v>0.875</v>
      </c>
      <c r="M112" s="220">
        <f>L112*K112</f>
        <v>9.1072887476643313E-2</v>
      </c>
      <c r="N112" s="174">
        <f>M112^2</f>
        <v>8.2942708333333341E-3</v>
      </c>
      <c r="O112" s="162"/>
    </row>
    <row r="113" spans="1:17" ht="15" thickBot="1" x14ac:dyDescent="0.35">
      <c r="A113" s="163"/>
      <c r="B113" s="170"/>
      <c r="C113" s="159"/>
      <c r="D113" s="171"/>
      <c r="E113" s="163"/>
      <c r="F113" s="163"/>
      <c r="G113" s="170"/>
      <c r="H113" s="171"/>
      <c r="I113" s="224"/>
      <c r="J113" s="225"/>
      <c r="K113" s="219"/>
      <c r="L113" s="163"/>
      <c r="M113" s="221"/>
      <c r="N113" s="175"/>
      <c r="O113" s="163"/>
    </row>
    <row r="114" spans="1:17" ht="14.4" customHeight="1" x14ac:dyDescent="0.3">
      <c r="A114" s="208" t="s">
        <v>60</v>
      </c>
      <c r="B114" s="212" t="s">
        <v>47</v>
      </c>
      <c r="C114" s="204"/>
      <c r="D114" s="213"/>
      <c r="E114" s="208"/>
      <c r="F114" s="208" t="s">
        <v>14</v>
      </c>
      <c r="G114" s="212" t="s">
        <v>204</v>
      </c>
      <c r="H114" s="213"/>
      <c r="I114" s="180">
        <v>0.2</v>
      </c>
      <c r="J114" s="204" t="s">
        <v>53</v>
      </c>
      <c r="K114" s="208">
        <f>I114/2</f>
        <v>0.1</v>
      </c>
      <c r="L114" s="208">
        <v>1</v>
      </c>
      <c r="M114" s="204">
        <f>L114*K114</f>
        <v>0.1</v>
      </c>
      <c r="N114" s="208">
        <f>M114^2</f>
        <v>1.0000000000000002E-2</v>
      </c>
      <c r="O114" s="208"/>
    </row>
    <row r="115" spans="1:17" ht="15" thickBot="1" x14ac:dyDescent="0.35">
      <c r="A115" s="209"/>
      <c r="B115" s="214"/>
      <c r="C115" s="205"/>
      <c r="D115" s="215"/>
      <c r="E115" s="209"/>
      <c r="F115" s="209"/>
      <c r="G115" s="214"/>
      <c r="H115" s="215"/>
      <c r="I115" s="181"/>
      <c r="J115" s="205"/>
      <c r="K115" s="209"/>
      <c r="L115" s="209"/>
      <c r="M115" s="205"/>
      <c r="N115" s="209"/>
      <c r="O115" s="209"/>
    </row>
    <row r="116" spans="1:17" x14ac:dyDescent="0.3">
      <c r="A116" s="208" t="s">
        <v>62</v>
      </c>
      <c r="B116" s="212" t="s">
        <v>48</v>
      </c>
      <c r="C116" s="204"/>
      <c r="D116" s="213"/>
      <c r="E116" s="208"/>
      <c r="F116" s="208" t="s">
        <v>14</v>
      </c>
      <c r="G116" s="212" t="s">
        <v>51</v>
      </c>
      <c r="H116" s="213"/>
      <c r="I116" s="306">
        <v>0.1</v>
      </c>
      <c r="J116" s="204" t="s">
        <v>137</v>
      </c>
      <c r="K116" s="226">
        <f>I116/SQRT(12)</f>
        <v>2.8867513459481291E-2</v>
      </c>
      <c r="L116" s="208">
        <v>1</v>
      </c>
      <c r="M116" s="204">
        <f>L116*K116</f>
        <v>2.8867513459481291E-2</v>
      </c>
      <c r="N116" s="210">
        <f>M116^2</f>
        <v>8.333333333333335E-4</v>
      </c>
      <c r="O116" s="208"/>
    </row>
    <row r="117" spans="1:17" ht="15" thickBot="1" x14ac:dyDescent="0.35">
      <c r="A117" s="209"/>
      <c r="B117" s="214"/>
      <c r="C117" s="205"/>
      <c r="D117" s="215"/>
      <c r="E117" s="209"/>
      <c r="F117" s="209"/>
      <c r="G117" s="214"/>
      <c r="H117" s="215"/>
      <c r="I117" s="307"/>
      <c r="J117" s="205"/>
      <c r="K117" s="227"/>
      <c r="L117" s="209"/>
      <c r="M117" s="205"/>
      <c r="N117" s="211"/>
      <c r="O117" s="209"/>
    </row>
    <row r="118" spans="1:17" x14ac:dyDescent="0.3">
      <c r="A118" s="208" t="s">
        <v>63</v>
      </c>
      <c r="B118" s="212" t="s">
        <v>49</v>
      </c>
      <c r="C118" s="204"/>
      <c r="D118" s="213"/>
      <c r="E118" s="208"/>
      <c r="F118" s="208" t="s">
        <v>14</v>
      </c>
      <c r="G118" s="212" t="s">
        <v>52</v>
      </c>
      <c r="H118" s="213"/>
      <c r="I118" s="172">
        <f>ABS('Inventario Inicial'!B20-'Inventario Final'!B20)</f>
        <v>0</v>
      </c>
      <c r="J118" s="204" t="s">
        <v>137</v>
      </c>
      <c r="K118" s="226">
        <f>I118/SQRT(12)</f>
        <v>0</v>
      </c>
      <c r="L118" s="208">
        <v>1</v>
      </c>
      <c r="M118" s="204">
        <f>L118*K118</f>
        <v>0</v>
      </c>
      <c r="N118" s="210">
        <f>M118^2</f>
        <v>0</v>
      </c>
      <c r="O118" s="208"/>
      <c r="Q118" t="s">
        <v>72</v>
      </c>
    </row>
    <row r="119" spans="1:17" ht="15" thickBot="1" x14ac:dyDescent="0.35">
      <c r="A119" s="209"/>
      <c r="B119" s="214"/>
      <c r="C119" s="205"/>
      <c r="D119" s="215"/>
      <c r="E119" s="209"/>
      <c r="F119" s="209"/>
      <c r="G119" s="214"/>
      <c r="H119" s="215"/>
      <c r="I119" s="173"/>
      <c r="J119" s="205"/>
      <c r="K119" s="227"/>
      <c r="L119" s="209"/>
      <c r="M119" s="205"/>
      <c r="N119" s="211"/>
      <c r="O119" s="209"/>
      <c r="Q119" s="6" t="s">
        <v>73</v>
      </c>
    </row>
    <row r="120" spans="1:17" x14ac:dyDescent="0.3">
      <c r="A120" s="162">
        <v>7.2</v>
      </c>
      <c r="B120" s="168" t="s">
        <v>65</v>
      </c>
      <c r="C120" s="158"/>
      <c r="D120" s="169"/>
      <c r="E120" s="162">
        <f>B22</f>
        <v>0</v>
      </c>
      <c r="F120" s="162" t="s">
        <v>14</v>
      </c>
      <c r="G120" s="168" t="s">
        <v>67</v>
      </c>
      <c r="H120" s="169"/>
      <c r="I120" s="222" t="s">
        <v>71</v>
      </c>
      <c r="J120" s="223"/>
      <c r="K120" s="218">
        <f>SQRT(N122+N124+N126)</f>
        <v>0.37080992435478322</v>
      </c>
      <c r="L120" s="162">
        <f>1/8</f>
        <v>0.125</v>
      </c>
      <c r="M120" s="220">
        <f>L120*K120</f>
        <v>4.6351240544347902E-2</v>
      </c>
      <c r="N120" s="174">
        <f>M120^2</f>
        <v>2.1484375000000006E-3</v>
      </c>
      <c r="O120" s="162"/>
      <c r="Q120" t="s">
        <v>74</v>
      </c>
    </row>
    <row r="121" spans="1:17" ht="15" thickBot="1" x14ac:dyDescent="0.35">
      <c r="A121" s="163"/>
      <c r="B121" s="170"/>
      <c r="C121" s="159"/>
      <c r="D121" s="171"/>
      <c r="E121" s="163"/>
      <c r="F121" s="163"/>
      <c r="G121" s="170"/>
      <c r="H121" s="171"/>
      <c r="I121" s="224"/>
      <c r="J121" s="225"/>
      <c r="K121" s="219"/>
      <c r="L121" s="163"/>
      <c r="M121" s="221"/>
      <c r="N121" s="175"/>
      <c r="O121" s="163"/>
    </row>
    <row r="122" spans="1:17" x14ac:dyDescent="0.3">
      <c r="A122" s="208" t="s">
        <v>68</v>
      </c>
      <c r="B122" s="212" t="s">
        <v>47</v>
      </c>
      <c r="C122" s="204"/>
      <c r="D122" s="213"/>
      <c r="E122" s="208"/>
      <c r="F122" s="208" t="s">
        <v>14</v>
      </c>
      <c r="G122" s="212" t="s">
        <v>51</v>
      </c>
      <c r="H122" s="213"/>
      <c r="I122" s="306">
        <v>0.8</v>
      </c>
      <c r="J122" s="204" t="s">
        <v>137</v>
      </c>
      <c r="K122" s="208">
        <f>I122/SQRT(12)</f>
        <v>0.23094010767585033</v>
      </c>
      <c r="L122" s="208">
        <v>1</v>
      </c>
      <c r="M122" s="204">
        <f>L122*K122</f>
        <v>0.23094010767585033</v>
      </c>
      <c r="N122" s="208">
        <f>M122^2</f>
        <v>5.3333333333333344E-2</v>
      </c>
      <c r="O122" s="208"/>
    </row>
    <row r="123" spans="1:17" ht="15" thickBot="1" x14ac:dyDescent="0.35">
      <c r="A123" s="209"/>
      <c r="B123" s="214"/>
      <c r="C123" s="205"/>
      <c r="D123" s="215"/>
      <c r="E123" s="209"/>
      <c r="F123" s="209"/>
      <c r="G123" s="214"/>
      <c r="H123" s="215"/>
      <c r="I123" s="307"/>
      <c r="J123" s="205"/>
      <c r="K123" s="209"/>
      <c r="L123" s="209"/>
      <c r="M123" s="205"/>
      <c r="N123" s="209"/>
      <c r="O123" s="209"/>
    </row>
    <row r="124" spans="1:17" x14ac:dyDescent="0.3">
      <c r="A124" s="208" t="s">
        <v>69</v>
      </c>
      <c r="B124" s="212" t="s">
        <v>48</v>
      </c>
      <c r="C124" s="204"/>
      <c r="D124" s="213"/>
      <c r="E124" s="208"/>
      <c r="F124" s="208" t="s">
        <v>14</v>
      </c>
      <c r="G124" s="212" t="s">
        <v>51</v>
      </c>
      <c r="H124" s="213"/>
      <c r="I124" s="180">
        <v>0.1</v>
      </c>
      <c r="J124" s="204" t="s">
        <v>137</v>
      </c>
      <c r="K124" s="206">
        <f>I124/SQRT(12)</f>
        <v>2.8867513459481291E-2</v>
      </c>
      <c r="L124" s="208">
        <v>1</v>
      </c>
      <c r="M124" s="204">
        <f>L124*K124</f>
        <v>2.8867513459481291E-2</v>
      </c>
      <c r="N124" s="210">
        <f t="shared" ref="N124:N126" si="5">M124^2</f>
        <v>8.333333333333335E-4</v>
      </c>
      <c r="O124" s="208"/>
    </row>
    <row r="125" spans="1:17" ht="15" thickBot="1" x14ac:dyDescent="0.35">
      <c r="A125" s="209"/>
      <c r="B125" s="214"/>
      <c r="C125" s="205"/>
      <c r="D125" s="215"/>
      <c r="E125" s="209"/>
      <c r="F125" s="209"/>
      <c r="G125" s="214"/>
      <c r="H125" s="215"/>
      <c r="I125" s="181"/>
      <c r="J125" s="205"/>
      <c r="K125" s="207"/>
      <c r="L125" s="209"/>
      <c r="M125" s="205"/>
      <c r="N125" s="211"/>
      <c r="O125" s="209"/>
    </row>
    <row r="126" spans="1:17" x14ac:dyDescent="0.3">
      <c r="A126" s="208" t="s">
        <v>70</v>
      </c>
      <c r="B126" s="212" t="s">
        <v>49</v>
      </c>
      <c r="C126" s="204"/>
      <c r="D126" s="213"/>
      <c r="E126" s="208"/>
      <c r="F126" s="208" t="s">
        <v>14</v>
      </c>
      <c r="G126" s="212" t="s">
        <v>52</v>
      </c>
      <c r="H126" s="213"/>
      <c r="I126" s="216">
        <v>1</v>
      </c>
      <c r="J126" s="204" t="s">
        <v>137</v>
      </c>
      <c r="K126" s="206">
        <f>I126/SQRT(12)</f>
        <v>0.28867513459481292</v>
      </c>
      <c r="L126" s="208">
        <v>1</v>
      </c>
      <c r="M126" s="204">
        <f>L126*K126</f>
        <v>0.28867513459481292</v>
      </c>
      <c r="N126" s="210">
        <f t="shared" si="5"/>
        <v>8.3333333333333356E-2</v>
      </c>
      <c r="O126" s="208"/>
    </row>
    <row r="127" spans="1:17" ht="15" thickBot="1" x14ac:dyDescent="0.35">
      <c r="A127" s="209"/>
      <c r="B127" s="214"/>
      <c r="C127" s="205"/>
      <c r="D127" s="215"/>
      <c r="E127" s="209"/>
      <c r="F127" s="209"/>
      <c r="G127" s="214"/>
      <c r="H127" s="215"/>
      <c r="I127" s="217"/>
      <c r="J127" s="205"/>
      <c r="K127" s="207"/>
      <c r="L127" s="209"/>
      <c r="M127" s="205"/>
      <c r="N127" s="211"/>
      <c r="O127" s="209"/>
    </row>
    <row r="128" spans="1:17" x14ac:dyDescent="0.3">
      <c r="A128" s="184">
        <v>8</v>
      </c>
      <c r="B128" s="196" t="s">
        <v>207</v>
      </c>
      <c r="C128" s="186"/>
      <c r="D128" s="197"/>
      <c r="E128" s="184" t="e">
        <f>C75</f>
        <v>#DIV/0!</v>
      </c>
      <c r="F128" s="184" t="s">
        <v>16</v>
      </c>
      <c r="G128" s="196"/>
      <c r="H128" s="197"/>
      <c r="I128" s="192" t="s">
        <v>79</v>
      </c>
      <c r="J128" s="193"/>
      <c r="K128" s="202" t="e">
        <f>SQRT(N130+N132+N134)</f>
        <v>#DIV/0!</v>
      </c>
      <c r="L128" s="184" t="e">
        <f>B30*B31*(1/C76)</f>
        <v>#DIV/0!</v>
      </c>
      <c r="M128" s="186" t="e">
        <f>L128*K128</f>
        <v>#DIV/0!</v>
      </c>
      <c r="N128" s="188" t="e">
        <f>M128^2</f>
        <v>#DIV/0!</v>
      </c>
      <c r="O128" s="190" t="e">
        <f>N128/$N$144</f>
        <v>#DIV/0!</v>
      </c>
    </row>
    <row r="129" spans="1:15" ht="15" thickBot="1" x14ac:dyDescent="0.35">
      <c r="A129" s="185"/>
      <c r="B129" s="198"/>
      <c r="C129" s="187"/>
      <c r="D129" s="199"/>
      <c r="E129" s="185"/>
      <c r="F129" s="185"/>
      <c r="G129" s="198"/>
      <c r="H129" s="199"/>
      <c r="I129" s="194"/>
      <c r="J129" s="195"/>
      <c r="K129" s="203"/>
      <c r="L129" s="185"/>
      <c r="M129" s="187"/>
      <c r="N129" s="189"/>
      <c r="O129" s="191"/>
    </row>
    <row r="130" spans="1:15" x14ac:dyDescent="0.3">
      <c r="A130" s="162">
        <v>8.1</v>
      </c>
      <c r="B130" s="168" t="s">
        <v>76</v>
      </c>
      <c r="C130" s="158"/>
      <c r="D130" s="169"/>
      <c r="E130" s="178">
        <f>B25</f>
        <v>0</v>
      </c>
      <c r="F130" s="162" t="s">
        <v>16</v>
      </c>
      <c r="G130" s="168" t="s">
        <v>51</v>
      </c>
      <c r="H130" s="169"/>
      <c r="I130" s="180">
        <v>0.2</v>
      </c>
      <c r="J130" s="158" t="s">
        <v>137</v>
      </c>
      <c r="K130" s="162">
        <f>I130/SQRT(12)</f>
        <v>5.7735026918962581E-2</v>
      </c>
      <c r="L130" s="162">
        <v>1</v>
      </c>
      <c r="M130" s="158">
        <f>L130*K130</f>
        <v>5.7735026918962581E-2</v>
      </c>
      <c r="N130" s="162">
        <f>M130^2</f>
        <v>3.333333333333334E-3</v>
      </c>
      <c r="O130" s="162"/>
    </row>
    <row r="131" spans="1:15" ht="15" thickBot="1" x14ac:dyDescent="0.35">
      <c r="A131" s="163"/>
      <c r="B131" s="170"/>
      <c r="C131" s="159"/>
      <c r="D131" s="171"/>
      <c r="E131" s="163"/>
      <c r="F131" s="163"/>
      <c r="G131" s="170"/>
      <c r="H131" s="171"/>
      <c r="I131" s="181"/>
      <c r="J131" s="159"/>
      <c r="K131" s="163"/>
      <c r="L131" s="163"/>
      <c r="M131" s="159"/>
      <c r="N131" s="163"/>
      <c r="O131" s="163"/>
    </row>
    <row r="132" spans="1:15" x14ac:dyDescent="0.3">
      <c r="A132" s="162" t="s">
        <v>75</v>
      </c>
      <c r="B132" s="168" t="s">
        <v>77</v>
      </c>
      <c r="C132" s="158"/>
      <c r="D132" s="169"/>
      <c r="E132" s="162">
        <f>B26</f>
        <v>0</v>
      </c>
      <c r="F132" s="162" t="s">
        <v>14</v>
      </c>
      <c r="G132" s="168" t="s">
        <v>204</v>
      </c>
      <c r="H132" s="169"/>
      <c r="I132" s="176">
        <v>0.2</v>
      </c>
      <c r="J132" s="158" t="s">
        <v>53</v>
      </c>
      <c r="K132" s="162">
        <f>I132/2</f>
        <v>0.1</v>
      </c>
      <c r="L132" s="174" t="e">
        <f>E128*((-C71*(1+0.8*C71*(E132-15)))+(-C71*(E132-15)*(0.8*C71)))</f>
        <v>#DIV/0!</v>
      </c>
      <c r="M132" s="158" t="e">
        <f>L132*K132</f>
        <v>#DIV/0!</v>
      </c>
      <c r="N132" s="164" t="e">
        <f>M132^2</f>
        <v>#DIV/0!</v>
      </c>
      <c r="O132" s="162"/>
    </row>
    <row r="133" spans="1:15" ht="15" thickBot="1" x14ac:dyDescent="0.35">
      <c r="A133" s="163"/>
      <c r="B133" s="170"/>
      <c r="C133" s="159"/>
      <c r="D133" s="171"/>
      <c r="E133" s="163"/>
      <c r="F133" s="163"/>
      <c r="G133" s="170"/>
      <c r="H133" s="171"/>
      <c r="I133" s="177"/>
      <c r="J133" s="159"/>
      <c r="K133" s="163"/>
      <c r="L133" s="175"/>
      <c r="M133" s="159"/>
      <c r="N133" s="165"/>
      <c r="O133" s="163"/>
    </row>
    <row r="134" spans="1:15" x14ac:dyDescent="0.3">
      <c r="A134" s="162">
        <v>8.3000000000000007</v>
      </c>
      <c r="B134" s="168" t="s">
        <v>78</v>
      </c>
      <c r="C134" s="158"/>
      <c r="D134" s="169"/>
      <c r="E134" s="162"/>
      <c r="F134" s="162" t="s">
        <v>16</v>
      </c>
      <c r="G134" s="168" t="s">
        <v>193</v>
      </c>
      <c r="H134" s="169"/>
      <c r="I134" s="172" t="e">
        <f>E128*(0.15/100)</f>
        <v>#DIV/0!</v>
      </c>
      <c r="J134" s="158" t="s">
        <v>137</v>
      </c>
      <c r="K134" s="160" t="e">
        <f>I134/SQRT(12)</f>
        <v>#DIV/0!</v>
      </c>
      <c r="L134" s="162">
        <v>1</v>
      </c>
      <c r="M134" s="158" t="e">
        <f t="shared" ref="M134" si="6">L134*K134</f>
        <v>#DIV/0!</v>
      </c>
      <c r="N134" s="164" t="e">
        <f>M134^2</f>
        <v>#DIV/0!</v>
      </c>
      <c r="O134" s="162"/>
    </row>
    <row r="135" spans="1:15" ht="15" thickBot="1" x14ac:dyDescent="0.35">
      <c r="A135" s="163"/>
      <c r="B135" s="170"/>
      <c r="C135" s="159"/>
      <c r="D135" s="171"/>
      <c r="E135" s="163"/>
      <c r="F135" s="163"/>
      <c r="G135" s="170"/>
      <c r="H135" s="171"/>
      <c r="I135" s="173"/>
      <c r="J135" s="159"/>
      <c r="K135" s="161"/>
      <c r="L135" s="163"/>
      <c r="M135" s="159"/>
      <c r="N135" s="165"/>
      <c r="O135" s="163"/>
    </row>
    <row r="136" spans="1:15" x14ac:dyDescent="0.3">
      <c r="A136" s="184">
        <v>9</v>
      </c>
      <c r="B136" s="196" t="s">
        <v>206</v>
      </c>
      <c r="C136" s="186"/>
      <c r="D136" s="197"/>
      <c r="E136" s="269" t="e">
        <f>C76</f>
        <v>#DIV/0!</v>
      </c>
      <c r="F136" s="184" t="s">
        <v>16</v>
      </c>
      <c r="G136" s="196"/>
      <c r="H136" s="197"/>
      <c r="I136" s="192" t="s">
        <v>194</v>
      </c>
      <c r="J136" s="193"/>
      <c r="K136" s="182" t="e">
        <f>SQRT(N138+N140+N142)</f>
        <v>#DIV/0!</v>
      </c>
      <c r="L136" s="184" t="e">
        <f>B30*B31*(-E128/E136^2)</f>
        <v>#DIV/0!</v>
      </c>
      <c r="M136" s="186" t="e">
        <f>L136*K136</f>
        <v>#DIV/0!</v>
      </c>
      <c r="N136" s="188" t="e">
        <f>M136^2</f>
        <v>#DIV/0!</v>
      </c>
      <c r="O136" s="190" t="e">
        <f>N136/$N$144</f>
        <v>#DIV/0!</v>
      </c>
    </row>
    <row r="137" spans="1:15" ht="15" thickBot="1" x14ac:dyDescent="0.35">
      <c r="A137" s="185"/>
      <c r="B137" s="198"/>
      <c r="C137" s="187"/>
      <c r="D137" s="199"/>
      <c r="E137" s="272"/>
      <c r="F137" s="185"/>
      <c r="G137" s="198"/>
      <c r="H137" s="199"/>
      <c r="I137" s="194"/>
      <c r="J137" s="195"/>
      <c r="K137" s="183"/>
      <c r="L137" s="185"/>
      <c r="M137" s="187"/>
      <c r="N137" s="189"/>
      <c r="O137" s="191"/>
    </row>
    <row r="138" spans="1:15" x14ac:dyDescent="0.3">
      <c r="A138" s="166">
        <v>9.1</v>
      </c>
      <c r="B138" s="168" t="s">
        <v>76</v>
      </c>
      <c r="C138" s="158"/>
      <c r="D138" s="169"/>
      <c r="E138" s="178">
        <f>B25</f>
        <v>0</v>
      </c>
      <c r="F138" s="162" t="s">
        <v>16</v>
      </c>
      <c r="G138" s="168" t="s">
        <v>51</v>
      </c>
      <c r="H138" s="169"/>
      <c r="I138" s="180">
        <v>0.2</v>
      </c>
      <c r="J138" s="158" t="s">
        <v>137</v>
      </c>
      <c r="K138" s="162">
        <f>I138/SQRT(12)</f>
        <v>5.7735026918962581E-2</v>
      </c>
      <c r="L138" s="162">
        <v>1</v>
      </c>
      <c r="M138" s="158">
        <f>L138*K138</f>
        <v>5.7735026918962581E-2</v>
      </c>
      <c r="N138" s="162">
        <f>M138^2</f>
        <v>3.333333333333334E-3</v>
      </c>
      <c r="O138" s="162"/>
    </row>
    <row r="139" spans="1:15" ht="15" thickBot="1" x14ac:dyDescent="0.35">
      <c r="A139" s="167"/>
      <c r="B139" s="170"/>
      <c r="C139" s="159"/>
      <c r="D139" s="171"/>
      <c r="E139" s="179"/>
      <c r="F139" s="163"/>
      <c r="G139" s="170"/>
      <c r="H139" s="171"/>
      <c r="I139" s="181"/>
      <c r="J139" s="159"/>
      <c r="K139" s="163"/>
      <c r="L139" s="163"/>
      <c r="M139" s="159"/>
      <c r="N139" s="163"/>
      <c r="O139" s="163"/>
    </row>
    <row r="140" spans="1:15" x14ac:dyDescent="0.3">
      <c r="A140" s="166">
        <v>9.1999999999999993</v>
      </c>
      <c r="B140" s="168" t="s">
        <v>77</v>
      </c>
      <c r="C140" s="158"/>
      <c r="D140" s="169"/>
      <c r="E140" s="162">
        <v>20</v>
      </c>
      <c r="F140" s="162" t="s">
        <v>14</v>
      </c>
      <c r="G140" s="168" t="s">
        <v>204</v>
      </c>
      <c r="H140" s="169"/>
      <c r="I140" s="176">
        <v>0.2</v>
      </c>
      <c r="J140" s="158" t="s">
        <v>53</v>
      </c>
      <c r="K140" s="162">
        <f>I140/2</f>
        <v>0.1</v>
      </c>
      <c r="L140" s="174" t="e">
        <f>E136*((-C71*(1+0.8*C71*(E140-15)))+(-C71*(E140-15)*(0.8*C71)))</f>
        <v>#DIV/0!</v>
      </c>
      <c r="M140" s="308" t="e">
        <f>L140*K140</f>
        <v>#DIV/0!</v>
      </c>
      <c r="N140" s="164" t="e">
        <f>M140^2</f>
        <v>#DIV/0!</v>
      </c>
      <c r="O140" s="162"/>
    </row>
    <row r="141" spans="1:15" ht="15" thickBot="1" x14ac:dyDescent="0.35">
      <c r="A141" s="167"/>
      <c r="B141" s="170"/>
      <c r="C141" s="159"/>
      <c r="D141" s="171"/>
      <c r="E141" s="163"/>
      <c r="F141" s="163"/>
      <c r="G141" s="170"/>
      <c r="H141" s="171"/>
      <c r="I141" s="177"/>
      <c r="J141" s="159"/>
      <c r="K141" s="163"/>
      <c r="L141" s="175"/>
      <c r="M141" s="309"/>
      <c r="N141" s="165"/>
      <c r="O141" s="163"/>
    </row>
    <row r="142" spans="1:15" x14ac:dyDescent="0.3">
      <c r="A142" s="166">
        <v>9.3000000000000007</v>
      </c>
      <c r="B142" s="168" t="s">
        <v>78</v>
      </c>
      <c r="C142" s="158"/>
      <c r="D142" s="169"/>
      <c r="E142" s="162"/>
      <c r="F142" s="162" t="s">
        <v>16</v>
      </c>
      <c r="G142" s="168" t="s">
        <v>80</v>
      </c>
      <c r="H142" s="169"/>
      <c r="I142" s="172" t="e">
        <f>E136*(0.15/100)</f>
        <v>#DIV/0!</v>
      </c>
      <c r="J142" s="158" t="s">
        <v>137</v>
      </c>
      <c r="K142" s="160" t="e">
        <f>I142/SQRT(12)</f>
        <v>#DIV/0!</v>
      </c>
      <c r="L142" s="162">
        <v>1</v>
      </c>
      <c r="M142" s="158" t="e">
        <f>L142*K142</f>
        <v>#DIV/0!</v>
      </c>
      <c r="N142" s="164" t="e">
        <f>M142^2</f>
        <v>#DIV/0!</v>
      </c>
      <c r="O142" s="162"/>
    </row>
    <row r="143" spans="1:15" ht="15" thickBot="1" x14ac:dyDescent="0.35">
      <c r="A143" s="167"/>
      <c r="B143" s="170"/>
      <c r="C143" s="159"/>
      <c r="D143" s="171"/>
      <c r="E143" s="163"/>
      <c r="F143" s="163"/>
      <c r="G143" s="170"/>
      <c r="H143" s="171"/>
      <c r="I143" s="173"/>
      <c r="J143" s="159"/>
      <c r="K143" s="161"/>
      <c r="L143" s="163"/>
      <c r="M143" s="159"/>
      <c r="N143" s="165"/>
      <c r="O143" s="163"/>
    </row>
    <row r="144" spans="1:15" ht="15" thickBot="1" x14ac:dyDescent="0.35">
      <c r="M144" s="10" t="s">
        <v>95</v>
      </c>
      <c r="N144" s="12" t="e">
        <f>SUM(N92,N100:N111,N128,N136)</f>
        <v>#DIV/0!</v>
      </c>
      <c r="O144" s="9" t="e">
        <f>SUM(O92,O100:O111,O128,O136)</f>
        <v>#DIV/0!</v>
      </c>
    </row>
    <row r="145" spans="13:15" ht="15" thickBot="1" x14ac:dyDescent="0.35">
      <c r="M145" s="10" t="s">
        <v>96</v>
      </c>
      <c r="N145" s="10" t="e">
        <f>SQRT(N144)</f>
        <v>#DIV/0!</v>
      </c>
      <c r="O145" t="s">
        <v>97</v>
      </c>
    </row>
    <row r="146" spans="13:15" ht="15" thickBot="1" x14ac:dyDescent="0.35">
      <c r="M146" s="10" t="s">
        <v>98</v>
      </c>
      <c r="N146" s="10" t="e">
        <f>N145*2</f>
        <v>#DIV/0!</v>
      </c>
    </row>
    <row r="147" spans="13:15" ht="15" thickBot="1" x14ac:dyDescent="0.35">
      <c r="M147" s="10" t="s">
        <v>99</v>
      </c>
      <c r="N147" s="11" t="e">
        <f>N146/C83</f>
        <v>#DIV/0!</v>
      </c>
    </row>
  </sheetData>
  <mergeCells count="316">
    <mergeCell ref="J142:J143"/>
    <mergeCell ref="K142:K143"/>
    <mergeCell ref="L142:L143"/>
    <mergeCell ref="M142:M143"/>
    <mergeCell ref="N142:N143"/>
    <mergeCell ref="O142:O143"/>
    <mergeCell ref="A142:A143"/>
    <mergeCell ref="B142:D143"/>
    <mergeCell ref="E142:E143"/>
    <mergeCell ref="F142:F143"/>
    <mergeCell ref="G142:H143"/>
    <mergeCell ref="I142:I143"/>
    <mergeCell ref="N136:N137"/>
    <mergeCell ref="O136:O137"/>
    <mergeCell ref="J140:J141"/>
    <mergeCell ref="K140:K141"/>
    <mergeCell ref="L140:L141"/>
    <mergeCell ref="M140:M141"/>
    <mergeCell ref="N140:N141"/>
    <mergeCell ref="O140:O141"/>
    <mergeCell ref="A140:A141"/>
    <mergeCell ref="B140:D141"/>
    <mergeCell ref="E140:E141"/>
    <mergeCell ref="F140:F141"/>
    <mergeCell ref="G140:H141"/>
    <mergeCell ref="I140:I141"/>
    <mergeCell ref="A136:A137"/>
    <mergeCell ref="B136:D137"/>
    <mergeCell ref="E136:E137"/>
    <mergeCell ref="F136:F137"/>
    <mergeCell ref="G136:H137"/>
    <mergeCell ref="I136:J137"/>
    <mergeCell ref="K136:K137"/>
    <mergeCell ref="L136:L137"/>
    <mergeCell ref="M136:M137"/>
    <mergeCell ref="J138:J139"/>
    <mergeCell ref="K138:K139"/>
    <mergeCell ref="L138:L139"/>
    <mergeCell ref="M138:M139"/>
    <mergeCell ref="N138:N139"/>
    <mergeCell ref="O138:O139"/>
    <mergeCell ref="A138:A139"/>
    <mergeCell ref="B138:D139"/>
    <mergeCell ref="E138:E139"/>
    <mergeCell ref="F138:F139"/>
    <mergeCell ref="G138:H139"/>
    <mergeCell ref="I138:I139"/>
    <mergeCell ref="N132:N133"/>
    <mergeCell ref="O132:O133"/>
    <mergeCell ref="A134:A135"/>
    <mergeCell ref="B134:D135"/>
    <mergeCell ref="E134:E135"/>
    <mergeCell ref="F134:F135"/>
    <mergeCell ref="G134:H135"/>
    <mergeCell ref="I134:I135"/>
    <mergeCell ref="J134:J135"/>
    <mergeCell ref="N134:N135"/>
    <mergeCell ref="K134:K135"/>
    <mergeCell ref="L134:L135"/>
    <mergeCell ref="M134:M135"/>
    <mergeCell ref="A132:A133"/>
    <mergeCell ref="B132:D133"/>
    <mergeCell ref="E132:E133"/>
    <mergeCell ref="F132:F133"/>
    <mergeCell ref="G132:H133"/>
    <mergeCell ref="I132:I133"/>
    <mergeCell ref="J132:J133"/>
    <mergeCell ref="K132:K133"/>
    <mergeCell ref="L132:L133"/>
    <mergeCell ref="M132:M133"/>
    <mergeCell ref="O134:O135"/>
    <mergeCell ref="K128:K129"/>
    <mergeCell ref="L128:L129"/>
    <mergeCell ref="M128:M129"/>
    <mergeCell ref="N128:N129"/>
    <mergeCell ref="O128:O129"/>
    <mergeCell ref="A130:A131"/>
    <mergeCell ref="B130:D131"/>
    <mergeCell ref="E130:E131"/>
    <mergeCell ref="F130:F131"/>
    <mergeCell ref="G130:H131"/>
    <mergeCell ref="A128:A129"/>
    <mergeCell ref="B128:D129"/>
    <mergeCell ref="E128:E129"/>
    <mergeCell ref="F128:F129"/>
    <mergeCell ref="G128:H129"/>
    <mergeCell ref="I128:J129"/>
    <mergeCell ref="O130:O131"/>
    <mergeCell ref="I130:I131"/>
    <mergeCell ref="J130:J131"/>
    <mergeCell ref="K130:K131"/>
    <mergeCell ref="L130:L131"/>
    <mergeCell ref="M130:M131"/>
    <mergeCell ref="N130:N131"/>
    <mergeCell ref="J126:J127"/>
    <mergeCell ref="K126:K127"/>
    <mergeCell ref="L126:L127"/>
    <mergeCell ref="M126:M127"/>
    <mergeCell ref="N126:N127"/>
    <mergeCell ref="O126:O127"/>
    <mergeCell ref="A126:A127"/>
    <mergeCell ref="B126:D127"/>
    <mergeCell ref="E126:E127"/>
    <mergeCell ref="F126:F127"/>
    <mergeCell ref="G126:H127"/>
    <mergeCell ref="I126:I127"/>
    <mergeCell ref="N120:N121"/>
    <mergeCell ref="J124:J125"/>
    <mergeCell ref="K124:K125"/>
    <mergeCell ref="L124:L125"/>
    <mergeCell ref="M124:M125"/>
    <mergeCell ref="N124:N125"/>
    <mergeCell ref="O124:O125"/>
    <mergeCell ref="A124:A125"/>
    <mergeCell ref="B124:D125"/>
    <mergeCell ref="E124:E125"/>
    <mergeCell ref="F124:F125"/>
    <mergeCell ref="G124:H125"/>
    <mergeCell ref="I124:I125"/>
    <mergeCell ref="A120:A121"/>
    <mergeCell ref="B120:D121"/>
    <mergeCell ref="E120:E121"/>
    <mergeCell ref="F120:F121"/>
    <mergeCell ref="G120:H121"/>
    <mergeCell ref="I120:J121"/>
    <mergeCell ref="K120:K121"/>
    <mergeCell ref="L120:L121"/>
    <mergeCell ref="M120:M121"/>
    <mergeCell ref="J122:J123"/>
    <mergeCell ref="K122:K123"/>
    <mergeCell ref="L122:L123"/>
    <mergeCell ref="M122:M123"/>
    <mergeCell ref="N122:N123"/>
    <mergeCell ref="O122:O123"/>
    <mergeCell ref="A122:A123"/>
    <mergeCell ref="B122:D123"/>
    <mergeCell ref="E122:E123"/>
    <mergeCell ref="F122:F123"/>
    <mergeCell ref="G122:H123"/>
    <mergeCell ref="I122:I123"/>
    <mergeCell ref="M116:M117"/>
    <mergeCell ref="N116:N117"/>
    <mergeCell ref="O116:O117"/>
    <mergeCell ref="A118:A119"/>
    <mergeCell ref="B118:D119"/>
    <mergeCell ref="E118:E119"/>
    <mergeCell ref="F118:F119"/>
    <mergeCell ref="G118:H119"/>
    <mergeCell ref="I118:I119"/>
    <mergeCell ref="J118:J119"/>
    <mergeCell ref="N118:N119"/>
    <mergeCell ref="O118:O119"/>
    <mergeCell ref="O120:O121"/>
    <mergeCell ref="K118:K119"/>
    <mergeCell ref="L118:L119"/>
    <mergeCell ref="M118:M119"/>
    <mergeCell ref="N112:N113"/>
    <mergeCell ref="O112:O113"/>
    <mergeCell ref="A114:A115"/>
    <mergeCell ref="B114:D115"/>
    <mergeCell ref="E114:E115"/>
    <mergeCell ref="F114:F115"/>
    <mergeCell ref="G114:H115"/>
    <mergeCell ref="O114:O115"/>
    <mergeCell ref="A116:A117"/>
    <mergeCell ref="B116:D117"/>
    <mergeCell ref="E116:E117"/>
    <mergeCell ref="F116:F117"/>
    <mergeCell ref="G116:H117"/>
    <mergeCell ref="I116:I117"/>
    <mergeCell ref="J116:J117"/>
    <mergeCell ref="K116:K117"/>
    <mergeCell ref="L116:L117"/>
    <mergeCell ref="I114:I115"/>
    <mergeCell ref="J114:J115"/>
    <mergeCell ref="K114:K115"/>
    <mergeCell ref="L114:L115"/>
    <mergeCell ref="M114:M115"/>
    <mergeCell ref="N114:N115"/>
    <mergeCell ref="A112:A113"/>
    <mergeCell ref="B112:D113"/>
    <mergeCell ref="E112:E113"/>
    <mergeCell ref="F112:F113"/>
    <mergeCell ref="G112:H113"/>
    <mergeCell ref="I112:J113"/>
    <mergeCell ref="K112:K113"/>
    <mergeCell ref="L112:L113"/>
    <mergeCell ref="M112:M113"/>
    <mergeCell ref="M108:M109"/>
    <mergeCell ref="N108:N109"/>
    <mergeCell ref="O108:O109"/>
    <mergeCell ref="A110:A111"/>
    <mergeCell ref="B110:D111"/>
    <mergeCell ref="E110:E111"/>
    <mergeCell ref="F110:F111"/>
    <mergeCell ref="G110:H111"/>
    <mergeCell ref="I110:J111"/>
    <mergeCell ref="K110:K111"/>
    <mergeCell ref="L110:L111"/>
    <mergeCell ref="M110:M111"/>
    <mergeCell ref="N110:N111"/>
    <mergeCell ref="O110:O111"/>
    <mergeCell ref="A108:A109"/>
    <mergeCell ref="B108:D109"/>
    <mergeCell ref="E108:E109"/>
    <mergeCell ref="F108:F109"/>
    <mergeCell ref="G108:H109"/>
    <mergeCell ref="I108:I109"/>
    <mergeCell ref="J108:J109"/>
    <mergeCell ref="K108:K109"/>
    <mergeCell ref="L108:L109"/>
    <mergeCell ref="M104:M105"/>
    <mergeCell ref="N104:N105"/>
    <mergeCell ref="O104:O105"/>
    <mergeCell ref="A106:A107"/>
    <mergeCell ref="B106:D107"/>
    <mergeCell ref="E106:E107"/>
    <mergeCell ref="F106:F107"/>
    <mergeCell ref="G106:H107"/>
    <mergeCell ref="O106:O107"/>
    <mergeCell ref="I106:I107"/>
    <mergeCell ref="J106:J107"/>
    <mergeCell ref="K106:K107"/>
    <mergeCell ref="L106:L107"/>
    <mergeCell ref="M106:M107"/>
    <mergeCell ref="N106:N107"/>
    <mergeCell ref="A104:A105"/>
    <mergeCell ref="B104:D105"/>
    <mergeCell ref="E104:E105"/>
    <mergeCell ref="F104:F105"/>
    <mergeCell ref="G104:H105"/>
    <mergeCell ref="I104:I105"/>
    <mergeCell ref="J104:J105"/>
    <mergeCell ref="K104:K105"/>
    <mergeCell ref="L104:L105"/>
    <mergeCell ref="A100:A101"/>
    <mergeCell ref="B100:D101"/>
    <mergeCell ref="E100:E101"/>
    <mergeCell ref="F100:F101"/>
    <mergeCell ref="G100:H101"/>
    <mergeCell ref="O100:O101"/>
    <mergeCell ref="A102:A103"/>
    <mergeCell ref="B102:D103"/>
    <mergeCell ref="E102:E103"/>
    <mergeCell ref="F102:F103"/>
    <mergeCell ref="G102:H103"/>
    <mergeCell ref="I102:I103"/>
    <mergeCell ref="J102:J103"/>
    <mergeCell ref="K102:K103"/>
    <mergeCell ref="L102:L103"/>
    <mergeCell ref="I100:I101"/>
    <mergeCell ref="J100:J101"/>
    <mergeCell ref="K100:K101"/>
    <mergeCell ref="L100:L101"/>
    <mergeCell ref="M100:M101"/>
    <mergeCell ref="N100:N101"/>
    <mergeCell ref="M102:M103"/>
    <mergeCell ref="N102:N103"/>
    <mergeCell ref="O102:O103"/>
    <mergeCell ref="N96:N97"/>
    <mergeCell ref="O96:O97"/>
    <mergeCell ref="A98:A99"/>
    <mergeCell ref="B98:D99"/>
    <mergeCell ref="E98:E99"/>
    <mergeCell ref="F98:F99"/>
    <mergeCell ref="G98:H99"/>
    <mergeCell ref="I98:I99"/>
    <mergeCell ref="J98:J99"/>
    <mergeCell ref="K98:K99"/>
    <mergeCell ref="L98:L99"/>
    <mergeCell ref="M98:M99"/>
    <mergeCell ref="N98:N99"/>
    <mergeCell ref="O98:O99"/>
    <mergeCell ref="N92:N93"/>
    <mergeCell ref="O92:O93"/>
    <mergeCell ref="A94:A95"/>
    <mergeCell ref="B94:D95"/>
    <mergeCell ref="E94:E95"/>
    <mergeCell ref="F94:F95"/>
    <mergeCell ref="G94:H95"/>
    <mergeCell ref="O94:O95"/>
    <mergeCell ref="A96:A97"/>
    <mergeCell ref="B96:D97"/>
    <mergeCell ref="E96:E97"/>
    <mergeCell ref="F96:F97"/>
    <mergeCell ref="G96:H97"/>
    <mergeCell ref="I96:I97"/>
    <mergeCell ref="J96:J97"/>
    <mergeCell ref="K96:K97"/>
    <mergeCell ref="L96:L97"/>
    <mergeCell ref="I94:I95"/>
    <mergeCell ref="J94:J95"/>
    <mergeCell ref="K94:K95"/>
    <mergeCell ref="L94:L95"/>
    <mergeCell ref="M94:M95"/>
    <mergeCell ref="N94:N95"/>
    <mergeCell ref="M96:M97"/>
    <mergeCell ref="A92:A93"/>
    <mergeCell ref="B92:D93"/>
    <mergeCell ref="E92:E93"/>
    <mergeCell ref="F92:F93"/>
    <mergeCell ref="G92:H93"/>
    <mergeCell ref="I92:J93"/>
    <mergeCell ref="K92:K93"/>
    <mergeCell ref="L92:L93"/>
    <mergeCell ref="M92:M93"/>
    <mergeCell ref="F13:H22"/>
    <mergeCell ref="D15:D18"/>
    <mergeCell ref="D25:F26"/>
    <mergeCell ref="B50:C50"/>
    <mergeCell ref="B82:D82"/>
    <mergeCell ref="A85:O88"/>
    <mergeCell ref="A89:O89"/>
    <mergeCell ref="I90:J90"/>
    <mergeCell ref="B91:D91"/>
    <mergeCell ref="G91:H91"/>
  </mergeCells>
  <pageMargins left="0.7" right="0.7" top="0.75" bottom="0.75" header="0.3" footer="0.3"/>
  <pageSetup scale="97" orientation="portrait" r:id="rId1"/>
  <colBreaks count="1" manualBreakCount="1">
    <brk id="6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0529-173A-49CE-8B86-F58EE846CFD4}">
  <sheetPr>
    <tabColor theme="9" tint="-0.249977111117893"/>
  </sheetPr>
  <dimension ref="A1:O81"/>
  <sheetViews>
    <sheetView zoomScale="140" zoomScaleNormal="140" workbookViewId="0">
      <selection activeCell="I64" sqref="I64:I65"/>
    </sheetView>
  </sheetViews>
  <sheetFormatPr baseColWidth="10" defaultRowHeight="14.4" x14ac:dyDescent="0.3"/>
  <cols>
    <col min="1" max="1" width="52.5546875" customWidth="1"/>
    <col min="2" max="2" width="23.6640625" bestFit="1" customWidth="1"/>
    <col min="3" max="3" width="13.109375" customWidth="1"/>
    <col min="6" max="6" width="36.109375" customWidth="1"/>
    <col min="7" max="7" width="14.44140625" customWidth="1"/>
    <col min="8" max="8" width="15.6640625" customWidth="1"/>
    <col min="9" max="9" width="13.6640625" bestFit="1" customWidth="1"/>
    <col min="11" max="11" width="18" customWidth="1"/>
    <col min="12" max="12" width="12.21875" bestFit="1" customWidth="1"/>
    <col min="14" max="14" width="20.44140625" customWidth="1"/>
    <col min="15" max="15" width="15.33203125" bestFit="1" customWidth="1"/>
  </cols>
  <sheetData>
    <row r="1" spans="1:6" ht="28.8" x14ac:dyDescent="0.3">
      <c r="A1" t="s">
        <v>101</v>
      </c>
      <c r="F1" s="14" t="s">
        <v>109</v>
      </c>
    </row>
    <row r="3" spans="1:6" x14ac:dyDescent="0.3">
      <c r="A3" t="s">
        <v>102</v>
      </c>
      <c r="B3" t="s">
        <v>103</v>
      </c>
    </row>
    <row r="5" spans="1:6" x14ac:dyDescent="0.3">
      <c r="A5" t="s">
        <v>104</v>
      </c>
    </row>
    <row r="6" spans="1:6" x14ac:dyDescent="0.3">
      <c r="A6" t="s">
        <v>105</v>
      </c>
    </row>
    <row r="7" spans="1:6" x14ac:dyDescent="0.3">
      <c r="A7" t="s">
        <v>107</v>
      </c>
      <c r="B7" t="s">
        <v>108</v>
      </c>
    </row>
    <row r="9" spans="1:6" x14ac:dyDescent="0.3">
      <c r="A9" t="s">
        <v>106</v>
      </c>
    </row>
    <row r="13" spans="1:6" x14ac:dyDescent="0.3">
      <c r="A13" t="s">
        <v>110</v>
      </c>
    </row>
    <row r="14" spans="1:6" x14ac:dyDescent="0.3">
      <c r="A14" t="s">
        <v>111</v>
      </c>
    </row>
    <row r="15" spans="1:6" x14ac:dyDescent="0.3">
      <c r="A15" t="s">
        <v>112</v>
      </c>
    </row>
    <row r="16" spans="1:6" x14ac:dyDescent="0.3">
      <c r="A16" t="s">
        <v>113</v>
      </c>
    </row>
    <row r="17" spans="1:9" x14ac:dyDescent="0.3">
      <c r="C17" t="s">
        <v>114</v>
      </c>
    </row>
    <row r="21" spans="1:9" x14ac:dyDescent="0.3">
      <c r="B21" s="76"/>
    </row>
    <row r="22" spans="1:9" x14ac:dyDescent="0.3">
      <c r="A22" s="110" t="s">
        <v>115</v>
      </c>
      <c r="B22" t="s">
        <v>215</v>
      </c>
      <c r="G22" s="92" t="s">
        <v>202</v>
      </c>
    </row>
    <row r="23" spans="1:9" x14ac:dyDescent="0.3">
      <c r="A23" s="110" t="s">
        <v>116</v>
      </c>
      <c r="B23" s="91"/>
      <c r="C23" s="110" t="s">
        <v>117</v>
      </c>
      <c r="D23" s="301" t="s">
        <v>122</v>
      </c>
      <c r="E23" s="301"/>
      <c r="F23" s="74" t="s">
        <v>214</v>
      </c>
      <c r="G23" s="77"/>
    </row>
    <row r="24" spans="1:9" x14ac:dyDescent="0.3">
      <c r="A24" s="110" t="s">
        <v>118</v>
      </c>
      <c r="B24" s="90"/>
      <c r="C24" s="110" t="s">
        <v>119</v>
      </c>
      <c r="D24" s="301"/>
      <c r="E24" s="301"/>
    </row>
    <row r="25" spans="1:9" x14ac:dyDescent="0.3">
      <c r="A25" s="110" t="s">
        <v>120</v>
      </c>
      <c r="B25" s="89">
        <v>1</v>
      </c>
      <c r="C25" s="110" t="s">
        <v>121</v>
      </c>
      <c r="D25" s="301"/>
      <c r="E25" s="301"/>
    </row>
    <row r="27" spans="1:9" ht="15.6" x14ac:dyDescent="0.3">
      <c r="A27" s="110" t="s">
        <v>210</v>
      </c>
      <c r="B27" s="105" t="e">
        <f>'Inventario Final'!C73</f>
        <v>#DIV/0!</v>
      </c>
      <c r="C27" s="113" t="s">
        <v>8</v>
      </c>
    </row>
    <row r="28" spans="1:9" x14ac:dyDescent="0.3">
      <c r="A28" s="110" t="s">
        <v>209</v>
      </c>
      <c r="B28" s="106">
        <v>20</v>
      </c>
      <c r="C28" s="113" t="s">
        <v>14</v>
      </c>
    </row>
    <row r="29" spans="1:9" ht="15" thickBot="1" x14ac:dyDescent="0.35">
      <c r="A29" s="1"/>
    </row>
    <row r="30" spans="1:9" ht="15" thickBot="1" x14ac:dyDescent="0.35">
      <c r="A30" s="17"/>
      <c r="B30" s="97" t="s">
        <v>126</v>
      </c>
      <c r="C30" s="98" t="s">
        <v>127</v>
      </c>
    </row>
    <row r="31" spans="1:9" ht="15" thickBot="1" x14ac:dyDescent="0.35">
      <c r="A31" s="99" t="s">
        <v>124</v>
      </c>
      <c r="B31" s="103"/>
      <c r="C31" s="104"/>
      <c r="F31" s="94" t="s">
        <v>132</v>
      </c>
      <c r="G31" s="93">
        <f>400/20</f>
        <v>20</v>
      </c>
      <c r="H31" s="95" t="s">
        <v>134</v>
      </c>
      <c r="I31" s="96" t="s">
        <v>133</v>
      </c>
    </row>
    <row r="32" spans="1:9" ht="15" thickBot="1" x14ac:dyDescent="0.35">
      <c r="A32" s="100" t="s">
        <v>125</v>
      </c>
      <c r="B32" s="101"/>
      <c r="C32" s="102"/>
      <c r="F32" s="94" t="s">
        <v>135</v>
      </c>
      <c r="G32" s="93"/>
      <c r="H32" s="95" t="s">
        <v>136</v>
      </c>
    </row>
    <row r="33" spans="1:4" x14ac:dyDescent="0.3">
      <c r="A33" s="1"/>
    </row>
    <row r="34" spans="1:4" x14ac:dyDescent="0.3">
      <c r="A34" s="110" t="s">
        <v>128</v>
      </c>
      <c r="B34" s="107">
        <f>B23*B25</f>
        <v>0</v>
      </c>
      <c r="C34" s="112" t="s">
        <v>117</v>
      </c>
    </row>
    <row r="35" spans="1:4" x14ac:dyDescent="0.3">
      <c r="A35" s="110" t="s">
        <v>129</v>
      </c>
      <c r="B35" s="108" t="e">
        <f>1-B27*(B28-20)</f>
        <v>#DIV/0!</v>
      </c>
      <c r="C35" s="112"/>
    </row>
    <row r="36" spans="1:4" x14ac:dyDescent="0.3">
      <c r="A36" s="110" t="s">
        <v>130</v>
      </c>
      <c r="B36" s="109" t="e">
        <f>B34*B35</f>
        <v>#DIV/0!</v>
      </c>
      <c r="C36" s="112" t="s">
        <v>117</v>
      </c>
    </row>
    <row r="37" spans="1:4" x14ac:dyDescent="0.3">
      <c r="A37" s="1"/>
      <c r="B37" s="8"/>
    </row>
    <row r="38" spans="1:4" x14ac:dyDescent="0.3">
      <c r="A38" s="110" t="s">
        <v>118</v>
      </c>
      <c r="B38" s="114">
        <f>(C32+B32)/2</f>
        <v>0</v>
      </c>
      <c r="C38" s="111" t="s">
        <v>119</v>
      </c>
    </row>
    <row r="39" spans="1:4" x14ac:dyDescent="0.3">
      <c r="A39" s="110" t="s">
        <v>144</v>
      </c>
      <c r="B39" s="66"/>
    </row>
    <row r="40" spans="1:4" x14ac:dyDescent="0.3">
      <c r="A40" s="1"/>
      <c r="B40" s="20"/>
    </row>
    <row r="41" spans="1:4" x14ac:dyDescent="0.3">
      <c r="A41" s="110" t="s">
        <v>145</v>
      </c>
      <c r="B41" s="116">
        <v>20</v>
      </c>
      <c r="C41" s="111" t="s">
        <v>134</v>
      </c>
    </row>
    <row r="42" spans="1:4" x14ac:dyDescent="0.3">
      <c r="A42" s="110" t="s">
        <v>146</v>
      </c>
      <c r="B42" s="115">
        <v>20</v>
      </c>
      <c r="C42" s="111" t="s">
        <v>134</v>
      </c>
    </row>
    <row r="43" spans="1:4" x14ac:dyDescent="0.3">
      <c r="A43" s="1"/>
      <c r="B43" s="21"/>
    </row>
    <row r="44" spans="1:4" x14ac:dyDescent="0.3">
      <c r="A44" s="1" t="s">
        <v>147</v>
      </c>
      <c r="B44" s="21"/>
    </row>
    <row r="45" spans="1:4" x14ac:dyDescent="0.3">
      <c r="A45" s="1" t="s">
        <v>148</v>
      </c>
      <c r="B45" s="21"/>
    </row>
    <row r="46" spans="1:4" x14ac:dyDescent="0.3">
      <c r="A46" s="110" t="s">
        <v>149</v>
      </c>
      <c r="B46" s="117">
        <f>B41/B42</f>
        <v>1</v>
      </c>
      <c r="C46" s="118">
        <f>(1-B46)</f>
        <v>0</v>
      </c>
      <c r="D46" t="s">
        <v>196</v>
      </c>
    </row>
    <row r="47" spans="1:4" x14ac:dyDescent="0.3">
      <c r="A47" s="22"/>
      <c r="B47" s="21"/>
    </row>
    <row r="48" spans="1:4" x14ac:dyDescent="0.3">
      <c r="A48" s="1"/>
      <c r="B48" s="21"/>
    </row>
    <row r="49" spans="1:15" x14ac:dyDescent="0.3">
      <c r="A49" s="1"/>
    </row>
    <row r="50" spans="1:15" x14ac:dyDescent="0.3">
      <c r="A50" s="1"/>
    </row>
    <row r="51" spans="1:15" x14ac:dyDescent="0.3">
      <c r="A51" s="312" t="s">
        <v>32</v>
      </c>
      <c r="B51" s="312"/>
      <c r="C51" s="312"/>
      <c r="D51" s="312"/>
      <c r="E51" s="312"/>
      <c r="F51" s="312"/>
      <c r="G51" s="312"/>
      <c r="H51" s="312"/>
      <c r="I51" s="312"/>
      <c r="J51" s="312"/>
      <c r="K51" s="312"/>
      <c r="L51" s="312"/>
      <c r="M51" s="312"/>
      <c r="N51" s="312"/>
      <c r="O51" s="312"/>
    </row>
    <row r="52" spans="1:15" x14ac:dyDescent="0.3">
      <c r="A52" s="312"/>
      <c r="B52" s="312"/>
      <c r="C52" s="312"/>
      <c r="D52" s="312"/>
      <c r="E52" s="312"/>
      <c r="F52" s="312"/>
      <c r="G52" s="312"/>
      <c r="H52" s="312"/>
      <c r="I52" s="312"/>
      <c r="J52" s="312"/>
      <c r="K52" s="312"/>
      <c r="L52" s="312"/>
      <c r="M52" s="312"/>
      <c r="N52" s="312"/>
      <c r="O52" s="312"/>
    </row>
    <row r="53" spans="1:15" x14ac:dyDescent="0.3">
      <c r="A53" s="312"/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12"/>
      <c r="M53" s="312"/>
      <c r="N53" s="312"/>
      <c r="O53" s="312"/>
    </row>
    <row r="54" spans="1:15" x14ac:dyDescent="0.3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</row>
    <row r="55" spans="1:15" ht="18" x14ac:dyDescent="0.35">
      <c r="A55" s="260" t="s">
        <v>197</v>
      </c>
      <c r="B55" s="260"/>
      <c r="C55" s="260"/>
      <c r="D55" s="260"/>
      <c r="E55" s="260"/>
      <c r="F55" s="260"/>
      <c r="G55" s="260"/>
      <c r="H55" s="260"/>
      <c r="I55" s="260"/>
      <c r="J55" s="260"/>
      <c r="K55" s="260"/>
      <c r="L55" s="260"/>
      <c r="M55" s="260"/>
      <c r="N55" s="260"/>
      <c r="O55" s="260"/>
    </row>
    <row r="56" spans="1:15" ht="15" thickBot="1" x14ac:dyDescent="0.35">
      <c r="A56" s="5"/>
      <c r="B56" s="5"/>
      <c r="C56" s="5"/>
      <c r="D56" s="5"/>
      <c r="E56" s="5"/>
      <c r="F56" s="5"/>
      <c r="G56" s="5"/>
      <c r="H56" s="5"/>
      <c r="I56" s="313"/>
      <c r="J56" s="313"/>
      <c r="K56" s="5"/>
      <c r="L56" s="5"/>
      <c r="M56" s="5"/>
      <c r="N56" s="5"/>
      <c r="O56" s="5"/>
    </row>
    <row r="57" spans="1:15" ht="29.4" thickBot="1" x14ac:dyDescent="0.35">
      <c r="A57" s="3" t="s">
        <v>33</v>
      </c>
      <c r="B57" s="295" t="s">
        <v>34</v>
      </c>
      <c r="C57" s="296"/>
      <c r="D57" s="297"/>
      <c r="E57" s="3" t="s">
        <v>35</v>
      </c>
      <c r="F57" s="3" t="s">
        <v>36</v>
      </c>
      <c r="G57" s="295" t="s">
        <v>37</v>
      </c>
      <c r="H57" s="297"/>
      <c r="I57" s="3" t="s">
        <v>38</v>
      </c>
      <c r="J57" s="4" t="s">
        <v>39</v>
      </c>
      <c r="K57" s="3" t="s">
        <v>40</v>
      </c>
      <c r="L57" s="3" t="s">
        <v>41</v>
      </c>
      <c r="M57" s="3" t="s">
        <v>42</v>
      </c>
      <c r="N57" s="3" t="s">
        <v>43</v>
      </c>
      <c r="O57" s="4" t="s">
        <v>44</v>
      </c>
    </row>
    <row r="58" spans="1:15" x14ac:dyDescent="0.3">
      <c r="A58" s="250">
        <v>1</v>
      </c>
      <c r="B58" s="314" t="s">
        <v>131</v>
      </c>
      <c r="C58" s="315"/>
      <c r="D58" s="316"/>
      <c r="E58" s="320">
        <f>B23</f>
        <v>0</v>
      </c>
      <c r="F58" s="250" t="s">
        <v>117</v>
      </c>
      <c r="G58" s="322" t="s">
        <v>198</v>
      </c>
      <c r="H58" s="323"/>
      <c r="I58" s="363">
        <f>G32/G31</f>
        <v>0</v>
      </c>
      <c r="J58" s="184" t="s">
        <v>137</v>
      </c>
      <c r="K58" s="202">
        <f>I58/SQRT(12)</f>
        <v>0</v>
      </c>
      <c r="L58" s="202" t="e">
        <f>E60*(1-B27*(B28-20))</f>
        <v>#DIV/0!</v>
      </c>
      <c r="M58" s="293" t="e">
        <f>L58*K58</f>
        <v>#DIV/0!</v>
      </c>
      <c r="N58" s="188" t="e">
        <f>M58^2</f>
        <v>#DIV/0!</v>
      </c>
      <c r="O58" s="310" t="e">
        <f>N58/$N$78</f>
        <v>#DIV/0!</v>
      </c>
    </row>
    <row r="59" spans="1:15" ht="39" customHeight="1" thickBot="1" x14ac:dyDescent="0.35">
      <c r="A59" s="251"/>
      <c r="B59" s="317"/>
      <c r="C59" s="318"/>
      <c r="D59" s="319"/>
      <c r="E59" s="321"/>
      <c r="F59" s="251"/>
      <c r="G59" s="324"/>
      <c r="H59" s="325"/>
      <c r="I59" s="364"/>
      <c r="J59" s="185"/>
      <c r="K59" s="203"/>
      <c r="L59" s="203"/>
      <c r="M59" s="294"/>
      <c r="N59" s="189"/>
      <c r="O59" s="311"/>
    </row>
    <row r="60" spans="1:15" x14ac:dyDescent="0.3">
      <c r="A60" s="184">
        <v>2</v>
      </c>
      <c r="B60" s="196" t="s">
        <v>138</v>
      </c>
      <c r="C60" s="186"/>
      <c r="D60" s="197"/>
      <c r="E60" s="334">
        <f>B25</f>
        <v>1</v>
      </c>
      <c r="F60" s="184" t="s">
        <v>121</v>
      </c>
      <c r="G60" s="238" t="s">
        <v>199</v>
      </c>
      <c r="H60" s="240"/>
      <c r="I60" s="337" t="s">
        <v>142</v>
      </c>
      <c r="J60" s="338"/>
      <c r="K60" s="258">
        <f>SQRT(N62+N64+N66)</f>
        <v>2.5000000000000001E-3</v>
      </c>
      <c r="L60" s="200" t="e">
        <f>B23*(1-B27*(B28-20))</f>
        <v>#DIV/0!</v>
      </c>
      <c r="M60" s="293" t="e">
        <f>L60*K60</f>
        <v>#DIV/0!</v>
      </c>
      <c r="N60" s="202" t="e">
        <f>M60^2</f>
        <v>#DIV/0!</v>
      </c>
      <c r="O60" s="310" t="e">
        <f>N60/$N$78</f>
        <v>#DIV/0!</v>
      </c>
    </row>
    <row r="61" spans="1:15" ht="15" thickBot="1" x14ac:dyDescent="0.35">
      <c r="A61" s="185"/>
      <c r="B61" s="198"/>
      <c r="C61" s="187"/>
      <c r="D61" s="199"/>
      <c r="E61" s="281"/>
      <c r="F61" s="185"/>
      <c r="G61" s="241"/>
      <c r="H61" s="243"/>
      <c r="I61" s="339"/>
      <c r="J61" s="340"/>
      <c r="K61" s="259"/>
      <c r="L61" s="201"/>
      <c r="M61" s="294"/>
      <c r="N61" s="203"/>
      <c r="O61" s="311"/>
    </row>
    <row r="62" spans="1:15" x14ac:dyDescent="0.3">
      <c r="A62" s="326">
        <v>2.1</v>
      </c>
      <c r="B62" s="328" t="s">
        <v>139</v>
      </c>
      <c r="C62" s="329"/>
      <c r="D62" s="330"/>
      <c r="E62" s="326"/>
      <c r="F62" s="326" t="s">
        <v>121</v>
      </c>
      <c r="G62" s="322" t="s">
        <v>211</v>
      </c>
      <c r="H62" s="323"/>
      <c r="I62" s="335">
        <v>5.0000000000000001E-3</v>
      </c>
      <c r="J62" s="184" t="s">
        <v>53</v>
      </c>
      <c r="K62" s="188">
        <f>I62/2</f>
        <v>2.5000000000000001E-3</v>
      </c>
      <c r="L62" s="200">
        <v>1</v>
      </c>
      <c r="M62" s="369">
        <f>K62*L62</f>
        <v>2.5000000000000001E-3</v>
      </c>
      <c r="N62" s="367">
        <f>M62^2</f>
        <v>6.2500000000000003E-6</v>
      </c>
      <c r="O62" s="256"/>
    </row>
    <row r="63" spans="1:15" ht="15" thickBot="1" x14ac:dyDescent="0.35">
      <c r="A63" s="327"/>
      <c r="B63" s="331"/>
      <c r="C63" s="332"/>
      <c r="D63" s="333"/>
      <c r="E63" s="327"/>
      <c r="F63" s="327"/>
      <c r="G63" s="324"/>
      <c r="H63" s="325"/>
      <c r="I63" s="336"/>
      <c r="J63" s="185"/>
      <c r="K63" s="189"/>
      <c r="L63" s="201"/>
      <c r="M63" s="370"/>
      <c r="N63" s="368"/>
      <c r="O63" s="257"/>
    </row>
    <row r="64" spans="1:15" x14ac:dyDescent="0.3">
      <c r="A64" s="326">
        <v>2.2000000000000002</v>
      </c>
      <c r="B64" s="328" t="s">
        <v>140</v>
      </c>
      <c r="C64" s="329"/>
      <c r="D64" s="330"/>
      <c r="E64" s="326"/>
      <c r="F64" s="326" t="s">
        <v>121</v>
      </c>
      <c r="G64" s="238" t="s">
        <v>212</v>
      </c>
      <c r="H64" s="240"/>
      <c r="I64" s="347">
        <f>B39/2</f>
        <v>0</v>
      </c>
      <c r="J64" s="184" t="s">
        <v>53</v>
      </c>
      <c r="K64" s="188">
        <f>I64/2</f>
        <v>0</v>
      </c>
      <c r="L64" s="200">
        <v>1</v>
      </c>
      <c r="M64" s="343">
        <f t="shared" ref="M64" si="0">K64*L64</f>
        <v>0</v>
      </c>
      <c r="N64" s="345">
        <f t="shared" ref="N64" si="1">M64^2</f>
        <v>0</v>
      </c>
      <c r="O64" s="256"/>
    </row>
    <row r="65" spans="1:15" ht="15" thickBot="1" x14ac:dyDescent="0.35">
      <c r="A65" s="327"/>
      <c r="B65" s="331"/>
      <c r="C65" s="332"/>
      <c r="D65" s="333"/>
      <c r="E65" s="327"/>
      <c r="F65" s="327"/>
      <c r="G65" s="241"/>
      <c r="H65" s="243"/>
      <c r="I65" s="348"/>
      <c r="J65" s="185"/>
      <c r="K65" s="189"/>
      <c r="L65" s="201"/>
      <c r="M65" s="344"/>
      <c r="N65" s="346"/>
      <c r="O65" s="257"/>
    </row>
    <row r="66" spans="1:15" x14ac:dyDescent="0.3">
      <c r="A66" s="326">
        <v>2.2999999999999998</v>
      </c>
      <c r="B66" s="328" t="s">
        <v>141</v>
      </c>
      <c r="C66" s="329"/>
      <c r="D66" s="330"/>
      <c r="E66" s="326"/>
      <c r="F66" s="326" t="s">
        <v>121</v>
      </c>
      <c r="G66" s="238" t="s">
        <v>212</v>
      </c>
      <c r="H66" s="240"/>
      <c r="I66" s="341">
        <f>C46</f>
        <v>0</v>
      </c>
      <c r="J66" s="184" t="s">
        <v>53</v>
      </c>
      <c r="K66" s="188">
        <f>I66/2</f>
        <v>0</v>
      </c>
      <c r="L66" s="200">
        <v>1</v>
      </c>
      <c r="M66" s="343">
        <f t="shared" ref="M66" si="2">K66*L66</f>
        <v>0</v>
      </c>
      <c r="N66" s="367">
        <f t="shared" ref="N66" si="3">M66^2</f>
        <v>0</v>
      </c>
      <c r="O66" s="256"/>
    </row>
    <row r="67" spans="1:15" ht="15" thickBot="1" x14ac:dyDescent="0.35">
      <c r="A67" s="327"/>
      <c r="B67" s="331"/>
      <c r="C67" s="332"/>
      <c r="D67" s="333"/>
      <c r="E67" s="327"/>
      <c r="F67" s="327"/>
      <c r="G67" s="241"/>
      <c r="H67" s="243"/>
      <c r="I67" s="342"/>
      <c r="J67" s="185"/>
      <c r="K67" s="189"/>
      <c r="L67" s="201"/>
      <c r="M67" s="344"/>
      <c r="N67" s="368"/>
      <c r="O67" s="257"/>
    </row>
    <row r="68" spans="1:15" x14ac:dyDescent="0.3">
      <c r="A68" s="184">
        <v>3</v>
      </c>
      <c r="B68" s="196" t="s">
        <v>150</v>
      </c>
      <c r="C68" s="186"/>
      <c r="D68" s="197"/>
      <c r="E68" s="252" t="e">
        <f>B27</f>
        <v>#DIV/0!</v>
      </c>
      <c r="F68" s="184" t="s">
        <v>8</v>
      </c>
      <c r="G68" s="238" t="s">
        <v>216</v>
      </c>
      <c r="H68" s="240"/>
      <c r="I68" s="351" t="e">
        <f>E68*0.1</f>
        <v>#DIV/0!</v>
      </c>
      <c r="J68" s="184" t="s">
        <v>137</v>
      </c>
      <c r="K68" s="188" t="e">
        <f>I68/SQRT(12)</f>
        <v>#DIV/0!</v>
      </c>
      <c r="L68" s="200">
        <f>(-E58*E60)*(B28-20)</f>
        <v>0</v>
      </c>
      <c r="M68" s="293" t="e">
        <f>L68*K68</f>
        <v>#DIV/0!</v>
      </c>
      <c r="N68" s="202" t="e">
        <f>M68^2</f>
        <v>#DIV/0!</v>
      </c>
      <c r="O68" s="349" t="e">
        <f>N68/$N$78</f>
        <v>#DIV/0!</v>
      </c>
    </row>
    <row r="69" spans="1:15" ht="15" thickBot="1" x14ac:dyDescent="0.35">
      <c r="A69" s="185"/>
      <c r="B69" s="198"/>
      <c r="C69" s="187"/>
      <c r="D69" s="199"/>
      <c r="E69" s="281"/>
      <c r="F69" s="185"/>
      <c r="G69" s="241"/>
      <c r="H69" s="243"/>
      <c r="I69" s="352"/>
      <c r="J69" s="185"/>
      <c r="K69" s="189"/>
      <c r="L69" s="201"/>
      <c r="M69" s="294"/>
      <c r="N69" s="203"/>
      <c r="O69" s="350"/>
    </row>
    <row r="70" spans="1:15" x14ac:dyDescent="0.3">
      <c r="A70" s="184">
        <v>4</v>
      </c>
      <c r="B70" s="196" t="s">
        <v>151</v>
      </c>
      <c r="C70" s="186"/>
      <c r="D70" s="197"/>
      <c r="E70" s="280">
        <f>B28</f>
        <v>20</v>
      </c>
      <c r="F70" s="184" t="s">
        <v>14</v>
      </c>
      <c r="G70" s="238"/>
      <c r="H70" s="240"/>
      <c r="I70" s="337" t="s">
        <v>152</v>
      </c>
      <c r="J70" s="338"/>
      <c r="K70" s="188">
        <f>SQRT(N72+N74+N76)</f>
        <v>2.8867513459481291E-2</v>
      </c>
      <c r="L70" s="200" t="e">
        <f>-E58*E60*B27</f>
        <v>#DIV/0!</v>
      </c>
      <c r="M70" s="293" t="e">
        <f>L70*K70</f>
        <v>#DIV/0!</v>
      </c>
      <c r="N70" s="365" t="e">
        <f>M70^2</f>
        <v>#DIV/0!</v>
      </c>
      <c r="O70" s="310" t="e">
        <f>N70/$N$78</f>
        <v>#DIV/0!</v>
      </c>
    </row>
    <row r="71" spans="1:15" ht="15" thickBot="1" x14ac:dyDescent="0.35">
      <c r="A71" s="185"/>
      <c r="B71" s="198"/>
      <c r="C71" s="187"/>
      <c r="D71" s="199"/>
      <c r="E71" s="281"/>
      <c r="F71" s="185"/>
      <c r="G71" s="241"/>
      <c r="H71" s="243"/>
      <c r="I71" s="339"/>
      <c r="J71" s="340"/>
      <c r="K71" s="189"/>
      <c r="L71" s="201"/>
      <c r="M71" s="294"/>
      <c r="N71" s="366"/>
      <c r="O71" s="311"/>
    </row>
    <row r="72" spans="1:15" x14ac:dyDescent="0.3">
      <c r="A72" s="326">
        <v>4.0999999999999996</v>
      </c>
      <c r="B72" s="328" t="s">
        <v>153</v>
      </c>
      <c r="C72" s="329"/>
      <c r="D72" s="330"/>
      <c r="E72" s="326"/>
      <c r="F72" s="326" t="s">
        <v>14</v>
      </c>
      <c r="G72" s="244" t="s">
        <v>192</v>
      </c>
      <c r="H72" s="245"/>
      <c r="I72" s="353"/>
      <c r="J72" s="184" t="s">
        <v>53</v>
      </c>
      <c r="K72" s="182">
        <f>I72/2</f>
        <v>0</v>
      </c>
      <c r="L72" s="200">
        <v>1</v>
      </c>
      <c r="M72" s="293">
        <f>K72*L72</f>
        <v>0</v>
      </c>
      <c r="N72" s="202">
        <f>M72^2</f>
        <v>0</v>
      </c>
      <c r="O72" s="256"/>
    </row>
    <row r="73" spans="1:15" ht="15" thickBot="1" x14ac:dyDescent="0.35">
      <c r="A73" s="327"/>
      <c r="B73" s="331"/>
      <c r="C73" s="332"/>
      <c r="D73" s="333"/>
      <c r="E73" s="327"/>
      <c r="F73" s="327"/>
      <c r="G73" s="246"/>
      <c r="H73" s="247"/>
      <c r="I73" s="354"/>
      <c r="J73" s="185"/>
      <c r="K73" s="183"/>
      <c r="L73" s="201"/>
      <c r="M73" s="294"/>
      <c r="N73" s="203"/>
      <c r="O73" s="257"/>
    </row>
    <row r="74" spans="1:15" x14ac:dyDescent="0.3">
      <c r="A74" s="326">
        <v>4.2</v>
      </c>
      <c r="B74" s="328" t="s">
        <v>48</v>
      </c>
      <c r="C74" s="329"/>
      <c r="D74" s="330"/>
      <c r="E74" s="326"/>
      <c r="F74" s="326" t="s">
        <v>14</v>
      </c>
      <c r="G74" s="238" t="s">
        <v>154</v>
      </c>
      <c r="H74" s="240"/>
      <c r="I74" s="361">
        <v>0.1</v>
      </c>
      <c r="J74" s="184" t="s">
        <v>137</v>
      </c>
      <c r="K74" s="188">
        <f>I74/SQRT(12)</f>
        <v>2.8867513459481291E-2</v>
      </c>
      <c r="L74" s="200">
        <v>1</v>
      </c>
      <c r="M74" s="357">
        <f>K74*L74</f>
        <v>2.8867513459481291E-2</v>
      </c>
      <c r="N74" s="359">
        <f t="shared" ref="N74" si="4">M74^2</f>
        <v>8.333333333333335E-4</v>
      </c>
      <c r="O74" s="256"/>
    </row>
    <row r="75" spans="1:15" ht="15" thickBot="1" x14ac:dyDescent="0.35">
      <c r="A75" s="327"/>
      <c r="B75" s="331"/>
      <c r="C75" s="332"/>
      <c r="D75" s="333"/>
      <c r="E75" s="327"/>
      <c r="F75" s="327"/>
      <c r="G75" s="241"/>
      <c r="H75" s="243"/>
      <c r="I75" s="362"/>
      <c r="J75" s="185"/>
      <c r="K75" s="189"/>
      <c r="L75" s="201"/>
      <c r="M75" s="358"/>
      <c r="N75" s="360"/>
      <c r="O75" s="257"/>
    </row>
    <row r="76" spans="1:15" x14ac:dyDescent="0.3">
      <c r="A76" s="326">
        <v>4.3</v>
      </c>
      <c r="B76" s="328" t="s">
        <v>155</v>
      </c>
      <c r="C76" s="329"/>
      <c r="D76" s="330"/>
      <c r="E76" s="326"/>
      <c r="F76" s="326" t="s">
        <v>14</v>
      </c>
      <c r="G76" s="238" t="s">
        <v>143</v>
      </c>
      <c r="H76" s="240"/>
      <c r="I76" s="355">
        <f>ABS('Inventario Inicial'!B20-'Inventario Final'!B20)</f>
        <v>0</v>
      </c>
      <c r="J76" s="184" t="s">
        <v>137</v>
      </c>
      <c r="K76" s="188">
        <f>I76/SQRT(12)</f>
        <v>0</v>
      </c>
      <c r="L76" s="200">
        <v>1</v>
      </c>
      <c r="M76" s="357">
        <f>K76*L76</f>
        <v>0</v>
      </c>
      <c r="N76" s="200">
        <f>M76^2</f>
        <v>0</v>
      </c>
      <c r="O76" s="256"/>
    </row>
    <row r="77" spans="1:15" ht="15" thickBot="1" x14ac:dyDescent="0.35">
      <c r="A77" s="327"/>
      <c r="B77" s="331"/>
      <c r="C77" s="332"/>
      <c r="D77" s="333"/>
      <c r="E77" s="327"/>
      <c r="F77" s="327"/>
      <c r="G77" s="241"/>
      <c r="H77" s="243"/>
      <c r="I77" s="356"/>
      <c r="J77" s="185"/>
      <c r="K77" s="189"/>
      <c r="L77" s="201"/>
      <c r="M77" s="358"/>
      <c r="N77" s="201"/>
      <c r="O77" s="257"/>
    </row>
    <row r="78" spans="1:15" ht="15" thickBot="1" x14ac:dyDescent="0.35">
      <c r="M78" s="68" t="s">
        <v>95</v>
      </c>
      <c r="N78" s="69" t="e">
        <f>SUM(N58,N60,N68,N70)</f>
        <v>#DIV/0!</v>
      </c>
      <c r="O78" s="23" t="e">
        <f>SUM(O58:O61,O68:O71)</f>
        <v>#DIV/0!</v>
      </c>
    </row>
    <row r="79" spans="1:15" ht="15" thickBot="1" x14ac:dyDescent="0.35">
      <c r="M79" s="68" t="s">
        <v>96</v>
      </c>
      <c r="N79" s="70" t="e">
        <f>SQRT(N78)</f>
        <v>#DIV/0!</v>
      </c>
    </row>
    <row r="80" spans="1:15" ht="15" thickBot="1" x14ac:dyDescent="0.35">
      <c r="M80" s="68" t="s">
        <v>98</v>
      </c>
      <c r="N80" s="71" t="e">
        <f>N79*2</f>
        <v>#DIV/0!</v>
      </c>
    </row>
    <row r="81" spans="13:14" ht="15" thickBot="1" x14ac:dyDescent="0.35">
      <c r="M81" s="68" t="s">
        <v>99</v>
      </c>
      <c r="N81" s="72" t="e">
        <f>N80/B36</f>
        <v>#DIV/0!</v>
      </c>
    </row>
  </sheetData>
  <mergeCells count="124">
    <mergeCell ref="D23:E25"/>
    <mergeCell ref="I58:I59"/>
    <mergeCell ref="J58:J59"/>
    <mergeCell ref="I70:J71"/>
    <mergeCell ref="K76:K77"/>
    <mergeCell ref="L76:L77"/>
    <mergeCell ref="M76:M77"/>
    <mergeCell ref="N76:N77"/>
    <mergeCell ref="K72:K73"/>
    <mergeCell ref="L72:L73"/>
    <mergeCell ref="M72:M73"/>
    <mergeCell ref="N72:N73"/>
    <mergeCell ref="K70:K71"/>
    <mergeCell ref="L70:L71"/>
    <mergeCell ref="M70:M71"/>
    <mergeCell ref="N70:N71"/>
    <mergeCell ref="K66:K67"/>
    <mergeCell ref="L66:L67"/>
    <mergeCell ref="M66:M67"/>
    <mergeCell ref="N66:N67"/>
    <mergeCell ref="K62:K63"/>
    <mergeCell ref="L62:L63"/>
    <mergeCell ref="M62:M63"/>
    <mergeCell ref="N62:N63"/>
    <mergeCell ref="O76:O77"/>
    <mergeCell ref="A76:A77"/>
    <mergeCell ref="B76:D77"/>
    <mergeCell ref="E76:E77"/>
    <mergeCell ref="F76:F77"/>
    <mergeCell ref="G76:H77"/>
    <mergeCell ref="I76:I77"/>
    <mergeCell ref="J76:J77"/>
    <mergeCell ref="K74:K75"/>
    <mergeCell ref="L74:L75"/>
    <mergeCell ref="M74:M75"/>
    <mergeCell ref="N74:N75"/>
    <mergeCell ref="O74:O75"/>
    <mergeCell ref="I74:I75"/>
    <mergeCell ref="J74:J75"/>
    <mergeCell ref="O72:O73"/>
    <mergeCell ref="A74:A75"/>
    <mergeCell ref="B74:D75"/>
    <mergeCell ref="E74:E75"/>
    <mergeCell ref="F74:F75"/>
    <mergeCell ref="G74:H75"/>
    <mergeCell ref="A72:A73"/>
    <mergeCell ref="B72:D73"/>
    <mergeCell ref="E72:E73"/>
    <mergeCell ref="F72:F73"/>
    <mergeCell ref="G72:H73"/>
    <mergeCell ref="I72:I73"/>
    <mergeCell ref="J72:J73"/>
    <mergeCell ref="O70:O71"/>
    <mergeCell ref="K68:K69"/>
    <mergeCell ref="L68:L69"/>
    <mergeCell ref="M68:M69"/>
    <mergeCell ref="N68:N69"/>
    <mergeCell ref="O68:O69"/>
    <mergeCell ref="A70:A71"/>
    <mergeCell ref="B70:D71"/>
    <mergeCell ref="E70:E71"/>
    <mergeCell ref="F70:F71"/>
    <mergeCell ref="G70:H71"/>
    <mergeCell ref="A68:A69"/>
    <mergeCell ref="B68:D69"/>
    <mergeCell ref="E68:E69"/>
    <mergeCell ref="F68:F69"/>
    <mergeCell ref="G68:H69"/>
    <mergeCell ref="I68:I69"/>
    <mergeCell ref="J68:J69"/>
    <mergeCell ref="O66:O67"/>
    <mergeCell ref="I66:I67"/>
    <mergeCell ref="J66:J67"/>
    <mergeCell ref="K64:K65"/>
    <mergeCell ref="L64:L65"/>
    <mergeCell ref="M64:M65"/>
    <mergeCell ref="N64:N65"/>
    <mergeCell ref="O64:O65"/>
    <mergeCell ref="A66:A67"/>
    <mergeCell ref="B66:D67"/>
    <mergeCell ref="E66:E67"/>
    <mergeCell ref="F66:F67"/>
    <mergeCell ref="G66:H67"/>
    <mergeCell ref="A64:A65"/>
    <mergeCell ref="B64:D65"/>
    <mergeCell ref="E64:E65"/>
    <mergeCell ref="F64:F65"/>
    <mergeCell ref="G64:H65"/>
    <mergeCell ref="I64:I65"/>
    <mergeCell ref="J64:J65"/>
    <mergeCell ref="O62:O63"/>
    <mergeCell ref="I62:I63"/>
    <mergeCell ref="J62:J63"/>
    <mergeCell ref="K60:K61"/>
    <mergeCell ref="L60:L61"/>
    <mergeCell ref="M60:M61"/>
    <mergeCell ref="N60:N61"/>
    <mergeCell ref="O60:O61"/>
    <mergeCell ref="I60:J61"/>
    <mergeCell ref="A62:A63"/>
    <mergeCell ref="B62:D63"/>
    <mergeCell ref="E62:E63"/>
    <mergeCell ref="F62:F63"/>
    <mergeCell ref="G62:H63"/>
    <mergeCell ref="A60:A61"/>
    <mergeCell ref="B60:D61"/>
    <mergeCell ref="E60:E61"/>
    <mergeCell ref="F60:F61"/>
    <mergeCell ref="G60:H61"/>
    <mergeCell ref="K58:K59"/>
    <mergeCell ref="L58:L59"/>
    <mergeCell ref="M58:M59"/>
    <mergeCell ref="N58:N59"/>
    <mergeCell ref="O58:O59"/>
    <mergeCell ref="A51:O54"/>
    <mergeCell ref="A55:O55"/>
    <mergeCell ref="I56:J56"/>
    <mergeCell ref="B57:D57"/>
    <mergeCell ref="G57:H57"/>
    <mergeCell ref="A58:A59"/>
    <mergeCell ref="B58:D59"/>
    <mergeCell ref="E58:E59"/>
    <mergeCell ref="F58:F59"/>
    <mergeCell ref="G58:H59"/>
  </mergeCells>
  <phoneticPr fontId="13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0E4A-1EF9-4844-915B-FFE1DAB775D2}">
  <sheetPr>
    <tabColor theme="9" tint="-0.249977111117893"/>
  </sheetPr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ACB3-A930-4375-98C4-91B33C6BABB8}">
  <dimension ref="F1:Z25"/>
  <sheetViews>
    <sheetView zoomScale="150" zoomScaleNormal="150" workbookViewId="0">
      <selection activeCell="H14" sqref="H14"/>
    </sheetView>
  </sheetViews>
  <sheetFormatPr baseColWidth="10" defaultRowHeight="14.4" x14ac:dyDescent="0.3"/>
  <cols>
    <col min="7" max="7" width="21" customWidth="1"/>
    <col min="8" max="8" width="12.5546875" bestFit="1" customWidth="1"/>
    <col min="10" max="10" width="16.44140625" customWidth="1"/>
    <col min="11" max="11" width="19.44140625" customWidth="1"/>
    <col min="26" max="26" width="23" customWidth="1"/>
  </cols>
  <sheetData>
    <row r="1" spans="6:26" x14ac:dyDescent="0.3">
      <c r="G1" s="34"/>
      <c r="H1" s="35"/>
      <c r="I1" s="35"/>
      <c r="J1" s="35"/>
      <c r="K1" s="35"/>
      <c r="L1" s="35"/>
      <c r="M1" s="35"/>
      <c r="N1" s="35"/>
      <c r="O1" s="35"/>
      <c r="P1" s="36" t="s">
        <v>163</v>
      </c>
      <c r="Q1" s="36" t="s">
        <v>41</v>
      </c>
      <c r="R1" s="36" t="s">
        <v>164</v>
      </c>
      <c r="S1" s="37" t="s">
        <v>165</v>
      </c>
    </row>
    <row r="2" spans="6:26" x14ac:dyDescent="0.3">
      <c r="G2" s="39" t="s">
        <v>157</v>
      </c>
      <c r="H2" s="73" t="e">
        <f>'Inventario Inicial'!C83</f>
        <v>#DIV/0!</v>
      </c>
      <c r="I2" s="18" t="s">
        <v>9</v>
      </c>
      <c r="J2" s="27" t="s">
        <v>170</v>
      </c>
      <c r="K2" s="28" t="e">
        <f>'Inventario Inicial'!N147</f>
        <v>#DIV/0!</v>
      </c>
      <c r="L2" s="301" t="s">
        <v>159</v>
      </c>
      <c r="M2" s="18"/>
      <c r="N2" s="26" t="e">
        <f>'Inventario Inicial'!N146</f>
        <v>#DIV/0!</v>
      </c>
      <c r="O2" s="18" t="s">
        <v>9</v>
      </c>
      <c r="P2" s="29" t="e">
        <f>N2/2</f>
        <v>#DIV/0!</v>
      </c>
      <c r="Q2" s="16">
        <v>-1</v>
      </c>
      <c r="R2" s="29" t="e">
        <f>P2*Q2</f>
        <v>#DIV/0!</v>
      </c>
      <c r="S2" s="31" t="e">
        <f>R2^2</f>
        <v>#DIV/0!</v>
      </c>
      <c r="Y2" t="s">
        <v>173</v>
      </c>
    </row>
    <row r="3" spans="6:26" x14ac:dyDescent="0.3">
      <c r="G3" s="39" t="s">
        <v>158</v>
      </c>
      <c r="H3" s="73" t="e">
        <f>'Inventario Final'!C83</f>
        <v>#DIV/0!</v>
      </c>
      <c r="I3" s="18" t="s">
        <v>9</v>
      </c>
      <c r="J3" s="27" t="s">
        <v>170</v>
      </c>
      <c r="K3" s="28" t="e">
        <f>'Inventario Final'!N147</f>
        <v>#DIV/0!</v>
      </c>
      <c r="L3" s="301"/>
      <c r="M3" s="18"/>
      <c r="N3" s="26" t="e">
        <f>'Inventario Final'!N146</f>
        <v>#DIV/0!</v>
      </c>
      <c r="O3" s="18" t="s">
        <v>9</v>
      </c>
      <c r="P3" s="29" t="e">
        <f t="shared" ref="P3" si="0">N3/2</f>
        <v>#DIV/0!</v>
      </c>
      <c r="Q3" s="16">
        <v>1</v>
      </c>
      <c r="R3" s="29" t="e">
        <f t="shared" ref="R3:R5" si="1">P3*Q3</f>
        <v>#DIV/0!</v>
      </c>
      <c r="S3" s="31" t="e">
        <f>R3^2</f>
        <v>#DIV/0!</v>
      </c>
    </row>
    <row r="4" spans="6:26" x14ac:dyDescent="0.3">
      <c r="G4" s="39"/>
      <c r="H4" s="18"/>
      <c r="I4" s="18"/>
      <c r="J4" s="18"/>
      <c r="K4" s="18"/>
      <c r="L4" s="301"/>
      <c r="M4" s="18"/>
      <c r="N4" s="18"/>
      <c r="O4" s="18"/>
      <c r="P4" s="16"/>
      <c r="Q4" s="16"/>
      <c r="R4" s="16"/>
      <c r="S4" s="54"/>
      <c r="T4" s="62" t="s">
        <v>174</v>
      </c>
      <c r="U4" s="62" t="s">
        <v>175</v>
      </c>
      <c r="V4" s="62" t="s">
        <v>176</v>
      </c>
      <c r="W4" s="62" t="s">
        <v>177</v>
      </c>
      <c r="Y4" s="371" t="s">
        <v>178</v>
      </c>
    </row>
    <row r="5" spans="6:26" x14ac:dyDescent="0.3">
      <c r="G5" s="39" t="s">
        <v>217</v>
      </c>
      <c r="H5" s="73" t="e">
        <f>'Presupuesto de U Salidas'!B36/1000</f>
        <v>#DIV/0!</v>
      </c>
      <c r="I5" s="18" t="s">
        <v>9</v>
      </c>
      <c r="J5" s="27" t="s">
        <v>170</v>
      </c>
      <c r="K5" s="28" t="e">
        <f>'Presupuesto de U Salidas'!N81</f>
        <v>#DIV/0!</v>
      </c>
      <c r="L5" s="301"/>
      <c r="M5" s="18"/>
      <c r="N5" s="26" t="e">
        <f>'Presupuesto de U Salidas'!N80/1000</f>
        <v>#DIV/0!</v>
      </c>
      <c r="O5" s="18" t="s">
        <v>9</v>
      </c>
      <c r="P5" s="29" t="e">
        <f>N5/2</f>
        <v>#DIV/0!</v>
      </c>
      <c r="Q5" s="16">
        <v>1</v>
      </c>
      <c r="R5" s="29" t="e">
        <f t="shared" si="1"/>
        <v>#DIV/0!</v>
      </c>
      <c r="S5" s="55" t="e">
        <f>R5^2</f>
        <v>#DIV/0!</v>
      </c>
      <c r="T5" s="56"/>
      <c r="U5" s="58" t="e">
        <f>R5*R6</f>
        <v>#DIV/0!</v>
      </c>
      <c r="V5" s="58" t="e">
        <f>R5*R7</f>
        <v>#DIV/0!</v>
      </c>
      <c r="W5" s="29" t="e">
        <f>R5*R8</f>
        <v>#DIV/0!</v>
      </c>
      <c r="X5" s="15" t="e">
        <f>SUM(U5:W5)</f>
        <v>#DIV/0!</v>
      </c>
      <c r="Y5" s="371"/>
      <c r="Z5" t="s">
        <v>181</v>
      </c>
    </row>
    <row r="6" spans="6:26" x14ac:dyDescent="0.3">
      <c r="G6" s="39"/>
      <c r="H6" s="39"/>
      <c r="I6" s="39"/>
      <c r="J6" s="39"/>
      <c r="K6" s="39"/>
      <c r="L6" s="301"/>
      <c r="M6" s="18"/>
      <c r="N6" s="18"/>
      <c r="O6" s="18"/>
      <c r="P6" s="18"/>
      <c r="Q6" s="18"/>
      <c r="R6" s="18"/>
      <c r="S6" s="18"/>
      <c r="T6" s="60"/>
      <c r="U6" s="56"/>
      <c r="V6" s="59">
        <f>R6*R7</f>
        <v>0</v>
      </c>
      <c r="W6" s="29">
        <f>R6*R8</f>
        <v>0</v>
      </c>
      <c r="X6" s="15">
        <f t="shared" ref="X6:X7" si="2">SUM(U6:W6)</f>
        <v>0</v>
      </c>
      <c r="Y6" s="371"/>
      <c r="Z6" s="57" t="s">
        <v>179</v>
      </c>
    </row>
    <row r="7" spans="6:26" ht="28.8" x14ac:dyDescent="0.3">
      <c r="G7" s="39"/>
      <c r="H7" s="18"/>
      <c r="I7" s="18"/>
      <c r="J7" s="27"/>
      <c r="K7" s="28"/>
      <c r="L7" s="301"/>
      <c r="M7" s="18"/>
      <c r="N7" s="18"/>
      <c r="O7" s="18"/>
      <c r="P7" s="18"/>
      <c r="Q7" s="18"/>
      <c r="R7" s="18"/>
      <c r="S7" s="18"/>
      <c r="T7" s="60"/>
      <c r="U7" s="60"/>
      <c r="V7" s="56"/>
      <c r="W7" s="29">
        <f>R7*R8</f>
        <v>0</v>
      </c>
      <c r="X7" s="15">
        <f t="shared" si="2"/>
        <v>0</v>
      </c>
      <c r="Y7" s="371"/>
      <c r="Z7" s="61" t="s">
        <v>180</v>
      </c>
    </row>
    <row r="8" spans="6:26" x14ac:dyDescent="0.3">
      <c r="G8" s="39"/>
      <c r="H8" s="18"/>
      <c r="I8" s="18"/>
      <c r="J8" s="27"/>
      <c r="K8" s="28"/>
      <c r="L8" s="301"/>
      <c r="M8" s="18"/>
      <c r="N8" s="18"/>
      <c r="O8" s="18"/>
      <c r="P8" s="18"/>
      <c r="Q8" s="18"/>
      <c r="R8" s="18"/>
      <c r="S8" s="18"/>
      <c r="T8" s="60"/>
      <c r="U8" s="60"/>
      <c r="V8" s="60"/>
      <c r="W8" s="56"/>
      <c r="Y8" s="371"/>
    </row>
    <row r="9" spans="6:26" x14ac:dyDescent="0.3">
      <c r="G9" s="39" t="s">
        <v>160</v>
      </c>
      <c r="H9" s="73" t="e">
        <f>'Presupuesto de U Salidas'!B36/1000</f>
        <v>#DIV/0!</v>
      </c>
      <c r="I9" s="18" t="s">
        <v>9</v>
      </c>
      <c r="J9" s="18"/>
      <c r="K9" s="30"/>
      <c r="L9" s="18"/>
      <c r="M9" s="18"/>
      <c r="N9" s="18"/>
      <c r="O9" s="18"/>
      <c r="P9" s="18"/>
      <c r="Q9" s="18"/>
      <c r="R9" s="38" t="s">
        <v>156</v>
      </c>
      <c r="S9" s="40" t="e">
        <f>SUM(S5:S8,X9)</f>
        <v>#DIV/0!</v>
      </c>
      <c r="T9" t="s">
        <v>183</v>
      </c>
      <c r="W9" s="42" t="s">
        <v>182</v>
      </c>
      <c r="X9" s="63" t="e">
        <f>SUM(X5:X7)*2</f>
        <v>#DIV/0!</v>
      </c>
    </row>
    <row r="10" spans="6:26" ht="29.4" thickBot="1" x14ac:dyDescent="0.35">
      <c r="G10" s="32"/>
      <c r="H10" s="122" t="e">
        <f>SUM(H5,H6)-H9</f>
        <v>#DIV/0!</v>
      </c>
      <c r="I10" s="33"/>
      <c r="J10" s="33"/>
      <c r="K10" s="33"/>
      <c r="L10" s="33"/>
      <c r="M10" s="33"/>
      <c r="N10" s="33"/>
      <c r="O10" s="33"/>
      <c r="P10" s="33"/>
      <c r="Q10" s="33"/>
      <c r="R10" s="44" t="s">
        <v>168</v>
      </c>
      <c r="S10" s="41" t="e">
        <f>SQRT(S9)</f>
        <v>#DIV/0!</v>
      </c>
      <c r="T10" t="s">
        <v>167</v>
      </c>
    </row>
    <row r="11" spans="6:26" ht="15" thickBot="1" x14ac:dyDescent="0.35">
      <c r="G11" s="32"/>
      <c r="H11" s="53"/>
      <c r="I11" s="53"/>
      <c r="J11" s="53"/>
      <c r="K11" s="53"/>
      <c r="L11" s="53"/>
      <c r="M11" s="53"/>
      <c r="N11" s="53"/>
      <c r="O11" s="53"/>
      <c r="P11" s="53"/>
      <c r="Q11" s="45"/>
      <c r="R11" s="47" t="s">
        <v>98</v>
      </c>
      <c r="S11" s="51" t="e">
        <f>S10*2</f>
        <v>#DIV/0!</v>
      </c>
      <c r="T11" s="64" t="e">
        <f>S11/H9</f>
        <v>#DIV/0!</v>
      </c>
      <c r="U11" t="s">
        <v>172</v>
      </c>
    </row>
    <row r="13" spans="6:26" x14ac:dyDescent="0.3">
      <c r="F13" s="74"/>
      <c r="G13" s="123" t="s">
        <v>161</v>
      </c>
      <c r="H13" s="81"/>
      <c r="I13" s="18" t="s">
        <v>9</v>
      </c>
      <c r="J13" s="27" t="s">
        <v>98</v>
      </c>
      <c r="K13" s="28" t="e">
        <f>K5</f>
        <v>#DIV/0!</v>
      </c>
      <c r="L13" s="18"/>
      <c r="M13" s="18"/>
      <c r="N13" s="26" t="e">
        <f>H13*K13</f>
        <v>#DIV/0!</v>
      </c>
      <c r="O13" s="18" t="s">
        <v>9</v>
      </c>
      <c r="P13" s="124" t="e">
        <f>N13/2</f>
        <v>#DIV/0!</v>
      </c>
      <c r="Q13" s="18">
        <v>-1</v>
      </c>
      <c r="R13" s="29" t="e">
        <f>P13*Q13</f>
        <v>#DIV/0!</v>
      </c>
      <c r="S13" s="124" t="e">
        <f>R13^2</f>
        <v>#DIV/0!</v>
      </c>
    </row>
    <row r="15" spans="6:26" ht="15" thickBot="1" x14ac:dyDescent="0.35">
      <c r="G15" s="25" t="s">
        <v>162</v>
      </c>
      <c r="H15" s="13" t="e">
        <f>H3-H2+H9-H13</f>
        <v>#DIV/0!</v>
      </c>
      <c r="J15" s="24"/>
    </row>
    <row r="16" spans="6:26" x14ac:dyDescent="0.3">
      <c r="R16" s="43" t="s">
        <v>166</v>
      </c>
      <c r="S16" s="49" t="e">
        <f>SUM(S2:S3,S5:S8,S13)</f>
        <v>#DIV/0!</v>
      </c>
    </row>
    <row r="17" spans="7:19" ht="29.4" thickBot="1" x14ac:dyDescent="0.35">
      <c r="R17" s="46" t="s">
        <v>169</v>
      </c>
      <c r="S17" s="50" t="e">
        <f>SQRT(S16)</f>
        <v>#DIV/0!</v>
      </c>
    </row>
    <row r="18" spans="7:19" ht="15" thickBot="1" x14ac:dyDescent="0.35">
      <c r="G18" s="48" t="s">
        <v>171</v>
      </c>
      <c r="H18" s="48"/>
      <c r="I18" s="48" t="e">
        <f>H15/S18</f>
        <v>#DIV/0!</v>
      </c>
      <c r="J18" s="48" t="e">
        <f>IF(ABS(I18)&lt;1,"Cumple","No cumple")</f>
        <v>#DIV/0!</v>
      </c>
      <c r="R18" s="47" t="s">
        <v>98</v>
      </c>
      <c r="S18" s="52" t="e">
        <f>S17*2</f>
        <v>#DIV/0!</v>
      </c>
    </row>
    <row r="21" spans="7:19" ht="15" thickBot="1" x14ac:dyDescent="0.35"/>
    <row r="22" spans="7:19" x14ac:dyDescent="0.3">
      <c r="R22" s="43" t="s">
        <v>166</v>
      </c>
      <c r="S22" s="49" t="e">
        <f>SUM(S2+S3+S13+S9)</f>
        <v>#DIV/0!</v>
      </c>
    </row>
    <row r="23" spans="7:19" ht="29.4" thickBot="1" x14ac:dyDescent="0.35">
      <c r="R23" s="46" t="s">
        <v>169</v>
      </c>
      <c r="S23" s="50" t="e">
        <f>SQRT(S22)</f>
        <v>#DIV/0!</v>
      </c>
    </row>
    <row r="24" spans="7:19" ht="15" thickBot="1" x14ac:dyDescent="0.35">
      <c r="R24" s="47" t="s">
        <v>98</v>
      </c>
      <c r="S24" s="65" t="e">
        <f>S23*2</f>
        <v>#DIV/0!</v>
      </c>
    </row>
    <row r="25" spans="7:19" x14ac:dyDescent="0.3">
      <c r="K25" s="42"/>
    </row>
  </sheetData>
  <mergeCells count="2">
    <mergeCell ref="L2:L8"/>
    <mergeCell ref="Y4:Y8"/>
  </mergeCells>
  <phoneticPr fontId="1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Control</vt:lpstr>
      <vt:lpstr>Inventario Inicial</vt:lpstr>
      <vt:lpstr>Derivadas Entradas</vt:lpstr>
      <vt:lpstr>Inventario Final</vt:lpstr>
      <vt:lpstr>Presupuesto de U Salidas</vt:lpstr>
      <vt:lpstr>Derivadas Salidas</vt:lpstr>
      <vt:lpstr>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Zaira Sibel Parra Blanco</dc:creator>
  <cp:lastModifiedBy>Zaira Sibel Parra Blanco</cp:lastModifiedBy>
  <dcterms:created xsi:type="dcterms:W3CDTF">2025-03-25T15:46:20Z</dcterms:created>
  <dcterms:modified xsi:type="dcterms:W3CDTF">2026-04-10T22:30:33Z</dcterms:modified>
</cp:coreProperties>
</file>